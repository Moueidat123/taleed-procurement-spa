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snagma\Desktop\"/>
    </mc:Choice>
  </mc:AlternateContent>
  <xr:revisionPtr revIDLastSave="0" documentId="13_ncr:1_{F80676B3-3564-4F09-8A4D-0481F718A451}" xr6:coauthVersionLast="47" xr6:coauthVersionMax="47" xr10:uidLastSave="{00000000-0000-0000-0000-000000000000}"/>
  <bookViews>
    <workbookView xWindow="-120" yWindow="-120" windowWidth="38640" windowHeight="21120" tabRatio="830" xr2:uid="{00000000-000D-0000-FFFF-FFFF00000000}"/>
  </bookViews>
  <sheets>
    <sheet name="1. Cover &amp; Instructions" sheetId="1" r:id="rId1"/>
    <sheet name="2. Self-Assessment" sheetId="2" r:id="rId2"/>
    <sheet name="3. Results Dashboard" sheetId="3" r:id="rId3"/>
    <sheet name="4. Recommendation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57" i="2" l="1"/>
  <c r="E56" i="2"/>
  <c r="E55" i="2"/>
  <c r="E54" i="2"/>
  <c r="E53" i="2"/>
  <c r="E52" i="2"/>
  <c r="E51" i="2"/>
  <c r="E50" i="2"/>
  <c r="E49" i="2"/>
  <c r="E48" i="2"/>
  <c r="E47" i="2"/>
  <c r="D44" i="2"/>
  <c r="E43" i="2"/>
  <c r="E42" i="2"/>
  <c r="E41" i="2"/>
  <c r="E40" i="2"/>
  <c r="E39" i="2"/>
  <c r="E38" i="2"/>
  <c r="E37" i="2"/>
  <c r="E36" i="2"/>
  <c r="E35" i="2"/>
  <c r="E34" i="2"/>
  <c r="D31" i="2"/>
  <c r="E30" i="2"/>
  <c r="E29" i="2"/>
  <c r="E28" i="2"/>
  <c r="E27" i="2"/>
  <c r="E26" i="2"/>
  <c r="E25" i="2"/>
  <c r="E24" i="2"/>
  <c r="E23" i="2"/>
  <c r="E22" i="2"/>
  <c r="E21" i="2"/>
  <c r="D18" i="2"/>
  <c r="E17" i="2"/>
  <c r="E16" i="2"/>
  <c r="E15" i="2"/>
  <c r="E14" i="2"/>
  <c r="E13" i="2"/>
  <c r="E12" i="2"/>
  <c r="E11" i="2"/>
  <c r="E10" i="2"/>
  <c r="E9" i="2"/>
  <c r="E8" i="2"/>
  <c r="E44" i="2" l="1"/>
  <c r="C21" i="4" s="1"/>
  <c r="E31" i="2"/>
  <c r="D15" i="3" s="1"/>
  <c r="H15" i="3" s="1"/>
  <c r="E18" i="2"/>
  <c r="F14" i="3" s="1"/>
  <c r="E57" i="2"/>
  <c r="C28" i="4" s="1"/>
  <c r="E16" i="3" l="1"/>
  <c r="D16" i="3"/>
  <c r="H16" i="3" s="1"/>
  <c r="F16" i="3"/>
  <c r="F17" i="3"/>
  <c r="C16" i="3"/>
  <c r="E15" i="3"/>
  <c r="F15" i="3"/>
  <c r="C14" i="4"/>
  <c r="C15" i="3"/>
  <c r="C14" i="3"/>
  <c r="D14" i="3"/>
  <c r="H14" i="3" s="1"/>
  <c r="D59" i="2"/>
  <c r="C7" i="4"/>
  <c r="E14" i="3"/>
  <c r="E59" i="2"/>
  <c r="D9" i="3" s="1"/>
  <c r="C17" i="3"/>
  <c r="D17" i="3"/>
  <c r="H17" i="3" s="1"/>
  <c r="E17" i="3"/>
  <c r="C41" i="3" l="1"/>
  <c r="F41" i="3"/>
  <c r="C42" i="3"/>
  <c r="F42" i="3"/>
  <c r="C43" i="3"/>
  <c r="F43" i="3"/>
  <c r="B38" i="3"/>
  <c r="B7" i="3"/>
  <c r="D8" i="3"/>
</calcChain>
</file>

<file path=xl/sharedStrings.xml><?xml version="1.0" encoding="utf-8"?>
<sst xmlns="http://schemas.openxmlformats.org/spreadsheetml/2006/main" count="194" uniqueCount="175">
  <si>
    <t>Procurement Performance Self-Assessment Framework</t>
  </si>
  <si>
    <t>A diagnostic tool for procurement maturity and performance</t>
  </si>
  <si>
    <t>Purpose</t>
  </si>
  <si>
    <t>This self-assessment framework enables procurement leaders to benchmark the maturity of their function across four critical capability areas — Category Management, Spend Analysis, Strategic Sourcing, and Supplier Relationship Management. It is designed as a structured diagnostic to surface strengths, identify capability gaps, and prioritize improvement initiatives. Results are intended to inform internal dialogue and strategic planning, not to score individuals.</t>
  </si>
  <si>
    <t>How to complete the assessment</t>
  </si>
  <si>
    <t>Step 1</t>
  </si>
  <si>
    <t>Open the '2. Self-Assessment' sheet.</t>
  </si>
  <si>
    <t>Step 2</t>
  </si>
  <si>
    <t>For each question, select 'Yes' or 'No' from the drop-down in the Response column.</t>
  </si>
  <si>
    <t>Step 3</t>
  </si>
  <si>
    <t>Answer all 40 questions. 'Yes' indicates the practice is consistently in place; 'No' indicates a gap or partial implementation.</t>
  </si>
  <si>
    <t>Step 4</t>
  </si>
  <si>
    <t>When fully completed, open the '3. Results Dashboard' to view your scores, maturity grade, and priority areas.</t>
  </si>
  <si>
    <t>Step 5</t>
  </si>
  <si>
    <t>Refer to the '4. Recommendations' sheet for tailored improvement actions by dimension.</t>
  </si>
  <si>
    <t>Scoring methodology</t>
  </si>
  <si>
    <t>Response scale</t>
  </si>
  <si>
    <t>Each 'Yes' answer is worth 1 point; each 'No' answer is worth 0 points.</t>
  </si>
  <si>
    <t>Dimension score</t>
  </si>
  <si>
    <t>Yes answers within a dimension divided by total questions in that dimension, expressed as a percentage.</t>
  </si>
  <si>
    <t>Overall score</t>
  </si>
  <si>
    <t>Total Yes answers divided by total questions (40), expressed as a percentage from 0% to 100%.</t>
  </si>
  <si>
    <t>Interpretation</t>
  </si>
  <si>
    <t>Higher scores indicate stronger procurement maturity; lower scores indicate priority areas for improvement.</t>
  </si>
  <si>
    <t>Maturity score bands</t>
  </si>
  <si>
    <t>Score band</t>
  </si>
  <si>
    <t>Maturity level and interpretation</t>
  </si>
  <si>
    <t>0% – 40%</t>
  </si>
  <si>
    <t>Foundational  —  Significant room for improvement; build core procurement capabilities.</t>
  </si>
  <si>
    <t>41% – 65%</t>
  </si>
  <si>
    <t>Developing  —  Capabilities are in place in parts of the function but not yet consistent.</t>
  </si>
  <si>
    <t>66% – 80%</t>
  </si>
  <si>
    <t>Advanced  —  Good procurement performance with selective opportunities for further uplift.</t>
  </si>
  <si>
    <t>81% – 100%</t>
  </si>
  <si>
    <t>Best-in-Class  —  Procurement is a strategic value driver; focus on sustaining excellence.</t>
  </si>
  <si>
    <t>Self-Assessment Questionnaire</t>
  </si>
  <si>
    <t>Answer each question with Yes or No. 'Yes' indicates the practice is consistently in place across the function.</t>
  </si>
  <si>
    <t>#</t>
  </si>
  <si>
    <t>Question</t>
  </si>
  <si>
    <t>Response</t>
  </si>
  <si>
    <t>Points</t>
  </si>
  <si>
    <t xml:space="preserve">  1.  CATEGORY MANAGEMENT</t>
  </si>
  <si>
    <t>1.1</t>
  </si>
  <si>
    <t>Do you have formally documented category strategies for your top 3–5 spend categories, reviewed and updated at least annually?</t>
  </si>
  <si>
    <t>1.2</t>
  </si>
  <si>
    <t>Are your category strategies developed cross-functionally, involving stakeholders from operations, finance, and business units — not solely by procurement?</t>
  </si>
  <si>
    <t>1.3</t>
  </si>
  <si>
    <t>Have you segmented your entire spend portfolio into a structured category hierarchy with a minimum of 3 levels (category → sub-category → commodity)?</t>
  </si>
  <si>
    <t>1.4</t>
  </si>
  <si>
    <t>Does each major spend category have a formally designated category owner, accountable for strategy execution and performance tracking?</t>
  </si>
  <si>
    <t>1.5</t>
  </si>
  <si>
    <t>Do your category strategies explicitly define the preferred buying channel for each category (e.g., framework agreements, catalogue purchasing, spot buy)?</t>
  </si>
  <si>
    <t>1.6</t>
  </si>
  <si>
    <t>Are category strategies updated whenever there is a significant change in supply market conditions, pricing dynamics, or internal demand patterns?</t>
  </si>
  <si>
    <t>1.7</t>
  </si>
  <si>
    <t>Do you conduct formal category performance reviews at least quarterly, measuring against defined KPIs such as savings delivered, contract compliance, and supplier performance?</t>
  </si>
  <si>
    <t>1.8</t>
  </si>
  <si>
    <t>Do your category strategies include a structured assessment of supply market dynamics — including supplier concentration risk, pricing trends, and alternative sourcing options?</t>
  </si>
  <si>
    <t>1.9</t>
  </si>
  <si>
    <t>Do you apply differentiated sourcing and negotiation approaches by category, based on strategic importance and supply risk (e.g., Kraljic-style segmentation logic)?</t>
  </si>
  <si>
    <t>1.10</t>
  </si>
  <si>
    <t>Subtotal</t>
  </si>
  <si>
    <t xml:space="preserve">  2.  SPEND ANALYSIS</t>
  </si>
  <si>
    <t>2.1</t>
  </si>
  <si>
    <t>Do you consolidate all purchasing data from ERP, invoices, purchase orders, and contracts into a single, centralized spend repository — rather than across disconnected systems and spreadsheets?</t>
  </si>
  <si>
    <t>2.2</t>
  </si>
  <si>
    <t>Do you apply a standardized, minimum 3-level spend taxonomy consistently across all business units, departments, and procurement systems?</t>
  </si>
  <si>
    <t>2.3</t>
  </si>
  <si>
    <t>Do you conduct formal spend reviews at least monthly, supported by a live or regularly refreshed dashboard?</t>
  </si>
  <si>
    <t>2.4</t>
  </si>
  <si>
    <t>Is there a formally designated individual or role explicitly responsible for spend data quality, classification governance, and the delivery of spend insights?</t>
  </si>
  <si>
    <t>2.5</t>
  </si>
  <si>
    <t>Does every spend review generate a documented, prioritized list of concrete sourcing actions or savings opportunities for follow-up?</t>
  </si>
  <si>
    <t>2.6</t>
  </si>
  <si>
    <t>Is your local content (ICV-eligible) spend tracked, categorized, and automatically reported within your spend taxonomy — rather than managed manually or separately?</t>
  </si>
  <si>
    <t>2.7</t>
  </si>
  <si>
    <t>Can you accurately identify your top 20 suppliers by total spend value within 24 hours, using your current procurement systems and data?</t>
  </si>
  <si>
    <t>2.8</t>
  </si>
  <si>
    <t>Have you cleansed your supplier master data in the past 12 months to eliminate duplicates, inconsistent naming conventions, and misclassified records?</t>
  </si>
  <si>
    <t>2.9</t>
  </si>
  <si>
    <t>Do you actively analyze off-contract and maverick spend as part of your regular spend review process to identify and remediate compliance leakage?</t>
  </si>
  <si>
    <t>2.10</t>
  </si>
  <si>
    <t>Is spend data used proactively to inform sourcing decisions, annual budget planning, and supplier negotiations — rather than only for retrospective finance reporting or audit purposes?</t>
  </si>
  <si>
    <t xml:space="preserve">  3.  STRATEGIC SOURCING</t>
  </si>
  <si>
    <t>3.1</t>
  </si>
  <si>
    <t>Do you apply a structured, multi-step sourcing process — covering market analysis, demand planning, tendering, negotiation preparation, and contracting — for all categories above a defined spend threshold?</t>
  </si>
  <si>
    <t>3.2</t>
  </si>
  <si>
    <t>Do you calculate and apply Total Cost of Ownership (TCO) analysis — not unit price alone — when evaluating supplier bids for strategic or high-value categories?</t>
  </si>
  <si>
    <t>3.3</t>
  </si>
  <si>
    <t>Do you mandate a minimum of three competitive quotes or bids for all purchases above a formally defined spend threshold?</t>
  </si>
  <si>
    <t>3.4</t>
  </si>
  <si>
    <t>Do you conduct formal supply market analysis — including price benchmarking, supplier landscape mapping, and competitive dynamics assessment — before launching a sourcing event?</t>
  </si>
  <si>
    <t>3.5</t>
  </si>
  <si>
    <t>Do you develop a documented negotiation strategy — including defined targets, walk-away positions, and specific negotiation levers — before entering any major supplier negotiation?</t>
  </si>
  <si>
    <t>3.6</t>
  </si>
  <si>
    <t>Do you use standardized RFX templates (RFI, RFQ, RFP) for sourcing events, aligned with internal stakeholders before distribution to the supplier market?</t>
  </si>
  <si>
    <t>3.7</t>
  </si>
  <si>
    <t>Do you evaluate and shortlist suppliers based on pre-defined qualitative and quantitative criteria beyond price — such as quality, delivery reliability, financial stability, and local content contribution?</t>
  </si>
  <si>
    <t>3.8</t>
  </si>
  <si>
    <t>Do you maintain and regularly update a vendor longlist or approved supplier database that is formally integrated into the sourcing process for each spend category?</t>
  </si>
  <si>
    <t>3.9</t>
  </si>
  <si>
    <t>Do you formally evaluate supplier performance post-award and feed the results back into your sourcing strategy, supplier segmentation, and future sourcing decisions?</t>
  </si>
  <si>
    <t>3.10</t>
  </si>
  <si>
    <t>Do you track and formally report realized sourcing savings against pre-defined targets on a category-by-category basis, with validation from finance or senior leadership?</t>
  </si>
  <si>
    <t xml:space="preserve">  4.  SUPPLIER RELATIONSHIP MANAGEMENT</t>
  </si>
  <si>
    <t>4.1</t>
  </si>
  <si>
    <t>Do you maintain a structured, up-to-date supplier database that includes qualification status, performance history, risk rating, and strategic classification for all active suppliers?</t>
  </si>
  <si>
    <t>4.2</t>
  </si>
  <si>
    <t>Have you formally classified all active suppliers into distinct tiers (e.g., Priority, Strategic/Niche, Leverage, Commodity) based on spend level and business criticality?</t>
  </si>
  <si>
    <t>4.3</t>
  </si>
  <si>
    <t>Do you conduct formal, structured supplier performance reviews at least quarterly for your top-tier and strategic suppliers, using pre-defined and consistently applied KPIs?</t>
  </si>
  <si>
    <t>4.4</t>
  </si>
  <si>
    <t>Do you have a documented supplier development plan for your most strategic suppliers, covering a 1–3 year horizon with defined targets, milestones, and mutual commitments signed off by both parties?</t>
  </si>
  <si>
    <t>4.5</t>
  </si>
  <si>
    <t>Do you systematically assess and monitor supply chain risks — including financial health, geopolitical exposure, single-source dependency, and cybersecurity — for your critical suppliers on an ongoing basis?</t>
  </si>
  <si>
    <t>4.6</t>
  </si>
  <si>
    <t>Do you have a formally defined and actively applied supplier phase-out process, triggered automatically when a supplier's performance consistently falls below acceptable thresholds?</t>
  </si>
  <si>
    <t>4.7</t>
  </si>
  <si>
    <t>Do you apply a clearly differentiated engagement model by supplier tier — with structured partnership governance for strategic suppliers and transactional, automated management for commodity suppliers?</t>
  </si>
  <si>
    <t>4.8</t>
  </si>
  <si>
    <t>Do your supplier qualification and selection criteria explicitly include local content scoring or ICV contribution as a formal, weighted evaluation factor?</t>
  </si>
  <si>
    <t>4.9</t>
  </si>
  <si>
    <t>Do you apply a Total Cost of Ownership (TCO) perspective when making supplier selection and make-or-buy decisions — rather than evaluating suppliers on unit price or short-term cost alone?</t>
  </si>
  <si>
    <t>4.10</t>
  </si>
  <si>
    <t>Do you have a structured, documented onboarding process for new suppliers — including compliance verification, data capture, and system setup — completed before the first purchase order is placed?</t>
  </si>
  <si>
    <t>OVERALL TOTAL</t>
  </si>
  <si>
    <t>Results Dashboard</t>
  </si>
  <si>
    <t>Procurement performance scoring across the four assessed dimensions</t>
  </si>
  <si>
    <t>OVERALL PROCUREMENT MATURITY</t>
  </si>
  <si>
    <t>Maturity grade</t>
  </si>
  <si>
    <t>Score by dimension</t>
  </si>
  <si>
    <t>Dimension</t>
  </si>
  <si>
    <t>Yes answers</t>
  </si>
  <si>
    <t>Score %</t>
  </si>
  <si>
    <t>Score bar</t>
  </si>
  <si>
    <t>Category Management</t>
  </si>
  <si>
    <t>Spend Analysis</t>
  </si>
  <si>
    <t>Strategic Sourcing</t>
  </si>
  <si>
    <t>Supplier Relationship Management</t>
  </si>
  <si>
    <t>Interpretation of results</t>
  </si>
  <si>
    <t>Suggested improvement priorities</t>
  </si>
  <si>
    <t>Priority 1</t>
  </si>
  <si>
    <t>Priority 2</t>
  </si>
  <si>
    <t>Priority 3</t>
  </si>
  <si>
    <t>Refer to the '4. Recommendations' sheet for tailored improvement actions for each dimension and maturity level.</t>
  </si>
  <si>
    <t>Improvement Recommendations</t>
  </si>
  <si>
    <t>Tailored actions by dimension and maturity level</t>
  </si>
  <si>
    <t>CATEGORY MANAGEMENT</t>
  </si>
  <si>
    <t>Your current level</t>
  </si>
  <si>
    <t>Foundational</t>
  </si>
  <si>
    <t>•  Establish a prioritized list of top spend categories and assign clear category ownership.
•  Develop a standard category strategy template covering market, suppliers, demand, and levers.
•  Run quick-win sourcing waves on the largest, simplest categories to build credibility.
•  Introduce a basic category classification (e.g. Kraljic matrix) to differentiate strategies.</t>
  </si>
  <si>
    <t>Developing</t>
  </si>
  <si>
    <t>•  Roll out category strategies across all material categories with consistent quality standards.
•  Embed annual refresh cycles linked to budget planning and demand forecasting.
•  Strengthen stakeholder governance with formal category steering committees.
•  Build a category-level initiative pipeline tracking savings, risk, and ESG impact.</t>
  </si>
  <si>
    <t>Advanced</t>
  </si>
  <si>
    <t>•  Differentiate strategies further by tiering categories on strategic value and complexity.
•  Integrate market intelligence subscriptions and structured supplier scouting per category.
•  Tie category KPIs to business outcomes (e.g. margin, time-to-market, resilience).
•  Drive cross-category synergies through coordinated demand and specification management.</t>
  </si>
  <si>
    <t>Best-in-Class</t>
  </si>
  <si>
    <t>•  Use category strategies as enterprise value engines linked to corporate strategy.
•  Embed scenario planning and dynamic re-prioritization in response to market shifts.
•  Benchmark externally and share leading practices across business units and geographies.
•  Position category managers as trusted business advisors to senior leadership.</t>
  </si>
  <si>
    <t>SPEND ANALYSIS</t>
  </si>
  <si>
    <t>•  Consolidate spend data from all ERP and P2P systems into a single, clean baseline.
•  Implement a standardized spend taxonomy and classify the top 80% of spend.
•  Quantify off-contract and maverick spend and report it to procurement leadership.
•  Establish a quarterly spend review routine with key stakeholders.</t>
  </si>
  <si>
    <t>•  Move from one-off analyses to a continuously refreshed spend analytics dashboard.
•  Increase coverage of addressable spend under active procurement management.
•  Apply spend cube analysis (category × supplier × business unit × geography) systematically.
•  Link spend insights directly into the sourcing initiative pipeline and savings tracking.</t>
  </si>
  <si>
    <t>•  Augment spend analytics with predictive insights (price forecasts, demand patterns, risk signals).
•  Integrate external benchmarks (e.g. should-cost, market price indices) into the analytics layer.
•  Automate classification using machine-learning enabled spend tools.
•  Use analytics to identify cross-category and cross-BU consolidation opportunities proactively.</t>
  </si>
  <si>
    <t>•  Deploy real-time spend intelligence accessible across the enterprise.
•  Use AI-driven anomaly detection on transactions to identify leakage and risk.
•  Integrate spend analytics with sustainability, risk, and resilience reporting.
•  Position spend analytics as a strategic decision-support capability for the business.</t>
  </si>
  <si>
    <t>STRATEGIC SOURCING</t>
  </si>
  <si>
    <t>•  Define a standard end-to-end strategic sourcing process and roll it out for major events.
•  Introduce structured RFx templates and basic e-sourcing tooling.
•  Move from price-only to a TCO-based evaluation approach on top categories.
•  Establish a savings tracking discipline linking negotiated savings to budgets.</t>
  </si>
  <si>
    <t>•  Embed pre-event market intelligence and supplier capability assessments as a standard step.
•  Scale e-sourcing tools across categories and harmonize RFx templates globally.
•  Develop negotiation playbooks differentiated by category type and supplier power.
•  Introduce contract management discipline covering performance, risk, and ESG clauses.</t>
  </si>
  <si>
    <t>•  Integrate advanced techniques: should-cost modelling, scenario-based bidding, and bundling.
•  Build a sourcing center of excellence to support complex and high-value events.
•  Measure realized (not just negotiated) savings and feed results back to the business.
•  Use sourcing data to inform supplier consolidation and strategic supplier selection.</t>
  </si>
  <si>
    <t>•  Apply digital sourcing platforms with AI-supported bid analysis and award optimization.
•  Use sourcing as a lever for innovation, ESG, and resilience — not only cost.
•  Continuously optimize cycle time and effectiveness across the sourcing pipeline.
•  Position strategic sourcing as a recognized competitive advantage internally and externally.</t>
  </si>
  <si>
    <t>SUPPLIER RELATIONSHIP MANAGEMENT</t>
  </si>
  <si>
    <t>•  Segment suppliers based on spend, strategic importance, and risk to identify the critical few.
•  Define a basic SRM framework and assign relationship owners for top suppliers.
•  Introduce structured supplier performance reviews with key suppliers.
•  Implement basic supplier qualification and onboarding processes.</t>
  </si>
  <si>
    <t>•  Roll out differentiated engagement models (strategic, preferred, transactional) consistently.
•  Deploy balanced supplier scorecards covering quality, delivery, cost, service, and innovation.
•  Operationalize a supplier risk management process across financial, operational, and ESG risks.
•  Establish executive sponsorship and governance routines for top strategic suppliers.</t>
  </si>
  <si>
    <t>•  Launch joint value-creation programs (innovation, cost-out, sustainability) with top suppliers.
•  Integrate ESG performance and compliance into supplier scorecards and governance.
•  Use SRM analytics to anticipate supplier risk and proactively manage performance issues.
•  Develop differentiated talent and capabilities for SRM (relationship managers, analysts).</t>
  </si>
  <si>
    <t>•  Co-invest with strategic suppliers in capability building, R&amp;D, and shared infrastructure.
•  Use supplier ecosystems as a source of competitive differentiation and resilience.
•  Apply real-time supplier intelligence (financial, ESG, geopolitical) to dynamic decision-making.
•  Benchmark SRM externally and continuously raise the bar on supplier collaboration.</t>
  </si>
  <si>
    <t>Recommendations highlighted in yellow correspond to your current maturity level for that dimension.</t>
  </si>
  <si>
    <t>Are your category strategies explicitly designed to maximize local content spend and aligned with your organization's local content or LCGPA compliance objectives?</t>
  </si>
  <si>
    <t>Aramco Taleed &amp; Roland Berger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</si>
</sst>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5">
    <font>
      <sz val="11"/>
      <color theme="1"/>
      <name val="Calibri"/>
      <family val="2"/>
      <charset val="1"/>
    </font>
    <font>
      <sz val="10"/>
      <name val="Arial"/>
      <family val="2"/>
    </font>
    <font>
      <b/>
      <sz val="22"/>
      <color rgb="FF1A1A1A"/>
      <name val="Calibri"/>
      <family val="2"/>
    </font>
    <font>
      <i/>
      <sz val="11"/>
      <color rgb="FF595959"/>
      <name val="Calibri"/>
      <family val="2"/>
    </font>
    <font>
      <b/>
      <sz val="12"/>
      <color rgb="FFFFFFFF"/>
      <name val="Calibri"/>
      <family val="2"/>
    </font>
    <font>
      <sz val="10"/>
      <color rgb="FF1A1A1A"/>
      <name val="Calibri"/>
      <family val="2"/>
    </font>
    <font>
      <b/>
      <sz val="10"/>
      <color rgb="FF1A1A1A"/>
      <name val="Calibri"/>
      <family val="2"/>
    </font>
    <font>
      <b/>
      <sz val="10"/>
      <color rgb="FFFFFFFF"/>
      <name val="Calibri"/>
      <family val="2"/>
    </font>
    <font>
      <i/>
      <sz val="8"/>
      <color rgb="FF595959"/>
      <name val="Calibri"/>
      <family val="2"/>
    </font>
    <font>
      <i/>
      <sz val="10"/>
      <color rgb="FF595959"/>
      <name val="Calibri"/>
      <family val="2"/>
    </font>
    <font>
      <b/>
      <sz val="11"/>
      <color rgb="FFFFFFFF"/>
      <name val="Calibri"/>
      <family val="2"/>
    </font>
    <font>
      <sz val="10"/>
      <color rgb="FF595959"/>
      <name val="Calibri"/>
      <family val="2"/>
    </font>
    <font>
      <b/>
      <sz val="10"/>
      <color rgb="FF595959"/>
      <name val="Calibri"/>
      <family val="2"/>
    </font>
    <font>
      <b/>
      <sz val="11"/>
      <color rgb="FF1A1A1A"/>
      <name val="Calibri"/>
      <family val="2"/>
    </font>
    <font>
      <i/>
      <sz val="9"/>
      <color rgb="FF595959"/>
      <name val="Calibri"/>
      <family val="2"/>
    </font>
    <font>
      <sz val="11"/>
      <color rgb="FF000000"/>
      <name val="Arial Nova Cond"/>
      <family val="2"/>
    </font>
    <font>
      <i/>
      <sz val="11"/>
      <color rgb="FF8D9399"/>
      <name val="Arial Nova Cond"/>
      <family val="2"/>
    </font>
    <font>
      <sz val="10"/>
      <color theme="1"/>
      <name val="Arial"/>
      <family val="2"/>
      <charset val="238"/>
    </font>
    <font>
      <b/>
      <sz val="22"/>
      <color theme="3"/>
      <name val="Calibri"/>
      <family val="2"/>
    </font>
    <font>
      <b/>
      <sz val="16"/>
      <color theme="3"/>
      <name val="Calibri"/>
      <family val="2"/>
    </font>
    <font>
      <b/>
      <sz val="10"/>
      <color theme="3"/>
      <name val="Calibri"/>
      <family val="2"/>
    </font>
    <font>
      <b/>
      <sz val="18"/>
      <color theme="3"/>
      <name val="Calibri"/>
      <family val="2"/>
    </font>
    <font>
      <b/>
      <sz val="48"/>
      <color theme="4"/>
      <name val="Calibri"/>
      <family val="2"/>
    </font>
    <font>
      <sz val="10"/>
      <color rgb="FF595959"/>
      <name val="Calibri"/>
      <family val="2"/>
      <charset val="1"/>
    </font>
    <font>
      <b/>
      <sz val="10"/>
      <color rgb="FF1A1A1A"/>
      <name val="Calibri"/>
      <family val="2"/>
      <charset val="1"/>
    </font>
  </fonts>
  <fills count="18">
    <fill>
      <patternFill patternType="none"/>
    </fill>
    <fill>
      <patternFill patternType="gray125"/>
    </fill>
    <fill>
      <patternFill patternType="solid">
        <fgColor rgb="FFE3000F"/>
        <bgColor rgb="FF800000"/>
      </patternFill>
    </fill>
    <fill>
      <patternFill patternType="solid">
        <fgColor rgb="FFF2F2F2"/>
        <bgColor rgb="FFFFF8E1"/>
      </patternFill>
    </fill>
    <fill>
      <patternFill patternType="solid">
        <fgColor rgb="FFF39C12"/>
        <bgColor rgb="FFFFCC00"/>
      </patternFill>
    </fill>
    <fill>
      <patternFill patternType="solid">
        <fgColor rgb="FF8BC34A"/>
        <bgColor rgb="FF969696"/>
      </patternFill>
    </fill>
    <fill>
      <patternFill patternType="solid">
        <fgColor rgb="FF2E7D32"/>
        <bgColor rgb="FF558B2F"/>
      </patternFill>
    </fill>
    <fill>
      <patternFill patternType="solid">
        <fgColor rgb="FFFFF8E1"/>
        <bgColor rgb="FFFFF9C4"/>
      </patternFill>
    </fill>
    <fill>
      <patternFill patternType="solid">
        <fgColor rgb="FFBFBFBF"/>
        <bgColor rgb="FFD9D9D9"/>
      </patternFill>
    </fill>
    <fill>
      <patternFill patternType="solid">
        <fgColor rgb="FF156C9C"/>
        <bgColor rgb="FF000000"/>
      </patternFill>
    </fill>
    <fill>
      <patternFill patternType="solid">
        <fgColor rgb="FF96AECA"/>
        <bgColor rgb="FF000000"/>
      </patternFill>
    </fill>
    <fill>
      <patternFill patternType="solid">
        <fgColor theme="4" tint="0.79998168889431442"/>
        <bgColor rgb="FF333300"/>
      </patternFill>
    </fill>
    <fill>
      <patternFill patternType="solid">
        <fgColor theme="3"/>
        <bgColor rgb="FF333300"/>
      </patternFill>
    </fill>
    <fill>
      <patternFill patternType="solid">
        <fgColor theme="4" tint="0.79998168889431442"/>
        <bgColor rgb="FF2E7D32"/>
      </patternFill>
    </fill>
    <fill>
      <patternFill patternType="solid">
        <fgColor theme="4"/>
        <bgColor rgb="FF800000"/>
      </patternFill>
    </fill>
    <fill>
      <patternFill patternType="solid">
        <fgColor theme="4"/>
        <bgColor rgb="FF2E7D32"/>
      </patternFill>
    </fill>
    <fill>
      <patternFill patternType="solid">
        <fgColor theme="3"/>
        <bgColor rgb="FF800000"/>
      </patternFill>
    </fill>
    <fill>
      <patternFill patternType="solid">
        <fgColor theme="3" tint="-0.499984740745262"/>
        <bgColor rgb="FF333300"/>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1A1A1A"/>
      </left>
      <right style="thin">
        <color rgb="FF1A1A1A"/>
      </right>
      <top style="thin">
        <color rgb="FF1A1A1A"/>
      </top>
      <bottom style="thin">
        <color rgb="FF1A1A1A"/>
      </bottom>
      <diagonal/>
    </border>
    <border>
      <left style="medium">
        <color rgb="FF1A1A1A"/>
      </left>
      <right/>
      <top style="medium">
        <color rgb="FF1A1A1A"/>
      </top>
      <bottom style="medium">
        <color rgb="FF1A1A1A"/>
      </bottom>
      <diagonal/>
    </border>
    <border>
      <left style="medium">
        <color rgb="FF1A1A1A"/>
      </left>
      <right style="medium">
        <color rgb="FF1A1A1A"/>
      </right>
      <top style="medium">
        <color rgb="FF1A1A1A"/>
      </top>
      <bottom style="medium">
        <color rgb="FF1A1A1A"/>
      </bottom>
      <diagonal/>
    </border>
    <border>
      <left style="thin">
        <color rgb="FFBFBFBF"/>
      </left>
      <right/>
      <top style="thin">
        <color rgb="FFBFBFBF"/>
      </top>
      <bottom style="thin">
        <color rgb="FFBFBFBF"/>
      </bottom>
      <diagonal/>
    </border>
  </borders>
  <cellStyleXfs count="4">
    <xf numFmtId="0" fontId="0" fillId="0" borderId="0"/>
    <xf numFmtId="9" fontId="1" fillId="0" borderId="0" applyBorder="0" applyAlignment="0" applyProtection="0"/>
    <xf numFmtId="0" fontId="1" fillId="0" borderId="0" applyNumberFormat="0" applyFont="0" applyFill="0" applyBorder="0" applyAlignment="0" applyProtection="0"/>
    <xf numFmtId="0" fontId="17" fillId="0" borderId="0"/>
  </cellStyleXfs>
  <cellXfs count="59">
    <xf numFmtId="0" fontId="0" fillId="0" borderId="0" xfId="0"/>
    <xf numFmtId="0" fontId="6" fillId="0" borderId="0" xfId="0" applyFont="1" applyAlignment="1">
      <alignment horizontal="left" vertical="top" wrapText="1"/>
    </xf>
    <xf numFmtId="0" fontId="5" fillId="0" borderId="0" xfId="0" applyFont="1" applyAlignment="1">
      <alignment horizontal="left" vertical="top" wrapText="1"/>
    </xf>
    <xf numFmtId="0" fontId="7" fillId="2" borderId="1" xfId="0" applyFont="1" applyFill="1" applyBorder="1" applyAlignment="1">
      <alignment horizontal="center" vertical="center"/>
    </xf>
    <xf numFmtId="0" fontId="5" fillId="3" borderId="1" xfId="0" applyFont="1" applyFill="1" applyBorder="1" applyAlignment="1">
      <alignment horizontal="left" vertical="center" indent="1"/>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left" vertical="center" wrapText="1" indent="1"/>
    </xf>
    <xf numFmtId="0" fontId="6" fillId="7" borderId="1" xfId="0" applyFont="1" applyFill="1" applyBorder="1" applyAlignment="1">
      <alignment horizontal="center" vertical="center"/>
    </xf>
    <xf numFmtId="0" fontId="11" fillId="0" borderId="1" xfId="0" applyFont="1" applyBorder="1" applyAlignment="1">
      <alignment horizontal="center" vertical="center"/>
    </xf>
    <xf numFmtId="0" fontId="6" fillId="3" borderId="1" xfId="0" applyFont="1" applyFill="1" applyBorder="1" applyAlignment="1">
      <alignment horizontal="center" vertical="center"/>
    </xf>
    <xf numFmtId="0" fontId="5" fillId="3" borderId="1" xfId="0" applyFont="1" applyFill="1" applyBorder="1" applyAlignment="1">
      <alignment horizontal="left" vertical="center" wrapText="1" indent="1"/>
    </xf>
    <xf numFmtId="0" fontId="11" fillId="3" borderId="1" xfId="0" applyFont="1" applyFill="1" applyBorder="1" applyAlignment="1">
      <alignment horizontal="center" vertical="center"/>
    </xf>
    <xf numFmtId="0" fontId="6" fillId="8" borderId="2" xfId="0" applyFont="1" applyFill="1" applyBorder="1" applyAlignment="1">
      <alignment horizontal="center" vertical="center"/>
    </xf>
    <xf numFmtId="0" fontId="6" fillId="0" borderId="1" xfId="0" applyFont="1" applyBorder="1" applyAlignment="1">
      <alignment horizontal="left" vertical="center" indent="1"/>
    </xf>
    <xf numFmtId="0" fontId="5" fillId="0" borderId="1" xfId="0" applyFont="1" applyBorder="1" applyAlignment="1">
      <alignment horizontal="center" vertical="center"/>
    </xf>
    <xf numFmtId="9" fontId="13" fillId="0" borderId="1" xfId="0" applyNumberFormat="1" applyFont="1" applyBorder="1" applyAlignment="1">
      <alignment horizontal="center" vertical="center"/>
    </xf>
    <xf numFmtId="9" fontId="5" fillId="0" borderId="1" xfId="0" applyNumberFormat="1" applyFont="1" applyBorder="1" applyAlignment="1">
      <alignment horizontal="center" vertical="center"/>
    </xf>
    <xf numFmtId="0" fontId="7" fillId="0" borderId="1" xfId="0" applyFont="1" applyBorder="1" applyAlignment="1">
      <alignment horizontal="center" vertical="center"/>
    </xf>
    <xf numFmtId="0" fontId="6" fillId="3" borderId="1" xfId="0" applyFont="1" applyFill="1" applyBorder="1" applyAlignment="1">
      <alignment horizontal="left" vertical="center" indent="1"/>
    </xf>
    <xf numFmtId="0" fontId="0" fillId="0" borderId="0" xfId="0" applyAlignment="1">
      <alignment vertical="center"/>
    </xf>
    <xf numFmtId="0" fontId="6" fillId="0" borderId="0" xfId="0" applyFont="1" applyAlignment="1">
      <alignment horizontal="left" vertical="center" wrapText="1"/>
    </xf>
    <xf numFmtId="0" fontId="5" fillId="0" borderId="0" xfId="0" applyFont="1" applyAlignment="1">
      <alignment horizontal="left" vertical="center" wrapText="1"/>
    </xf>
    <xf numFmtId="0" fontId="15" fillId="9" borderId="0" xfId="2" applyFont="1" applyFill="1" applyBorder="1" applyAlignment="1">
      <alignment vertical="center"/>
    </xf>
    <xf numFmtId="9" fontId="15" fillId="9" borderId="0" xfId="1" applyFont="1" applyFill="1" applyBorder="1" applyAlignment="1">
      <alignment vertical="center"/>
    </xf>
    <xf numFmtId="0" fontId="16" fillId="9" borderId="0" xfId="2" applyFont="1" applyFill="1" applyBorder="1" applyAlignment="1">
      <alignment vertical="center"/>
    </xf>
    <xf numFmtId="0" fontId="15" fillId="10" borderId="0" xfId="3" applyFont="1" applyFill="1" applyAlignment="1">
      <alignment vertical="center"/>
    </xf>
    <xf numFmtId="9" fontId="15" fillId="10" borderId="0" xfId="1" applyFont="1" applyFill="1" applyBorder="1" applyAlignment="1">
      <alignment vertical="center"/>
    </xf>
    <xf numFmtId="0" fontId="16" fillId="10" borderId="0" xfId="3" applyFont="1" applyFill="1" applyAlignment="1">
      <alignment vertical="center"/>
    </xf>
    <xf numFmtId="0" fontId="0" fillId="11" borderId="0" xfId="0" applyFill="1"/>
    <xf numFmtId="0" fontId="20" fillId="13" borderId="1" xfId="0" applyFont="1" applyFill="1" applyBorder="1" applyAlignment="1">
      <alignment horizontal="left" vertical="center" indent="1"/>
    </xf>
    <xf numFmtId="0" fontId="10" fillId="12" borderId="2" xfId="0" applyFont="1" applyFill="1" applyBorder="1" applyAlignment="1">
      <alignment horizontal="center" vertical="center"/>
    </xf>
    <xf numFmtId="0" fontId="7" fillId="15" borderId="1" xfId="0" applyFont="1" applyFill="1" applyBorder="1" applyAlignment="1">
      <alignment horizontal="center" vertical="center"/>
    </xf>
    <xf numFmtId="0" fontId="7" fillId="14" borderId="1" xfId="0" applyFont="1" applyFill="1" applyBorder="1" applyAlignment="1">
      <alignment horizontal="center" vertical="center"/>
    </xf>
    <xf numFmtId="0" fontId="10" fillId="17" borderId="4" xfId="0" applyFont="1" applyFill="1" applyBorder="1" applyAlignment="1">
      <alignment horizontal="center" vertical="center"/>
    </xf>
    <xf numFmtId="164" fontId="23" fillId="0" borderId="0" xfId="0" applyNumberFormat="1" applyFont="1"/>
    <xf numFmtId="9" fontId="24" fillId="3" borderId="1" xfId="0" applyNumberFormat="1" applyFont="1" applyFill="1" applyBorder="1" applyAlignment="1">
      <alignment horizontal="center" vertical="center"/>
    </xf>
    <xf numFmtId="0" fontId="4" fillId="12" borderId="0" xfId="0" applyFont="1" applyFill="1" applyAlignment="1">
      <alignment horizontal="left" vertical="center" indent="1"/>
    </xf>
    <xf numFmtId="0" fontId="8" fillId="0" borderId="0" xfId="0" applyFont="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indent="1"/>
    </xf>
    <xf numFmtId="0" fontId="21" fillId="0" borderId="0" xfId="0" applyFont="1" applyAlignment="1">
      <alignment horizontal="left" vertical="center"/>
    </xf>
    <xf numFmtId="0" fontId="9" fillId="0" borderId="0" xfId="0" applyFont="1" applyAlignment="1">
      <alignment horizontal="left" vertical="center"/>
    </xf>
    <xf numFmtId="0" fontId="10" fillId="14" borderId="0" xfId="0" applyFont="1" applyFill="1" applyAlignment="1">
      <alignment horizontal="left" vertical="center"/>
    </xf>
    <xf numFmtId="0" fontId="6" fillId="8" borderId="2" xfId="0" applyFont="1" applyFill="1" applyBorder="1" applyAlignment="1">
      <alignment horizontal="right" vertical="center" indent="1"/>
    </xf>
    <xf numFmtId="0" fontId="10" fillId="17" borderId="3" xfId="0" applyFont="1" applyFill="1" applyBorder="1" applyAlignment="1">
      <alignment horizontal="right" vertical="center" indent="1"/>
    </xf>
    <xf numFmtId="0" fontId="10" fillId="12" borderId="0" xfId="0" applyFont="1" applyFill="1" applyAlignment="1">
      <alignment horizontal="center" vertical="center"/>
    </xf>
    <xf numFmtId="9" fontId="22" fillId="3" borderId="0" xfId="0" applyNumberFormat="1" applyFont="1" applyFill="1" applyAlignment="1">
      <alignment horizontal="center" vertical="center"/>
    </xf>
    <xf numFmtId="0" fontId="12" fillId="3" borderId="0" xfId="0" applyFont="1" applyFill="1" applyAlignment="1">
      <alignment horizontal="center" vertical="center"/>
    </xf>
    <xf numFmtId="0" fontId="2" fillId="3" borderId="0" xfId="0" applyFont="1" applyFill="1" applyAlignment="1">
      <alignment horizontal="center" vertical="center"/>
    </xf>
    <xf numFmtId="0" fontId="9" fillId="3" borderId="0" xfId="0" applyFont="1" applyFill="1" applyAlignment="1">
      <alignment horizontal="center" vertical="center"/>
    </xf>
    <xf numFmtId="0" fontId="24" fillId="3" borderId="5" xfId="0" applyFont="1" applyFill="1" applyBorder="1" applyAlignment="1">
      <alignment horizontal="left" vertical="center" indent="1"/>
    </xf>
    <xf numFmtId="0" fontId="14" fillId="0" borderId="0" xfId="0" applyFont="1" applyAlignment="1">
      <alignment horizontal="left" vertical="center" indent="1"/>
    </xf>
    <xf numFmtId="0" fontId="5" fillId="3" borderId="5" xfId="0" applyFont="1" applyFill="1" applyBorder="1" applyAlignment="1">
      <alignment horizontal="left" vertical="top" wrapText="1" indent="1"/>
    </xf>
    <xf numFmtId="0" fontId="4" fillId="16" borderId="0" xfId="0" applyFont="1" applyFill="1" applyAlignment="1">
      <alignment horizontal="left" vertical="center" indent="1"/>
    </xf>
  </cellXfs>
  <cellStyles count="4">
    <cellStyle name="Normal" xfId="0" builtinId="0"/>
    <cellStyle name="Normal 2" xfId="2" xr:uid="{3BC69C36-3AEF-4ADB-9573-432A585A78C9}"/>
    <cellStyle name="Normal 3 2" xfId="3" xr:uid="{186A0255-070C-4CE4-BEBC-7279A9B5D752}"/>
    <cellStyle name="Percent" xfId="1" builtinId="5"/>
  </cellStyles>
  <dxfs count="20">
    <dxf>
      <font>
        <b/>
        <sz val="10"/>
        <color rgb="FFFFFFFF"/>
        <name val="Calibri"/>
        <charset val="1"/>
      </font>
      <fill>
        <patternFill>
          <bgColor rgb="FF2E7D32"/>
        </patternFill>
      </fill>
    </dxf>
    <dxf>
      <font>
        <b/>
        <sz val="10"/>
        <color rgb="FFFFFFFF"/>
        <name val="Calibri"/>
        <charset val="1"/>
      </font>
      <fill>
        <patternFill>
          <bgColor rgb="FF8BC34A"/>
        </patternFill>
      </fill>
    </dxf>
    <dxf>
      <font>
        <b/>
        <sz val="10"/>
        <color rgb="FFFFFFFF"/>
        <name val="Calibri"/>
        <charset val="1"/>
      </font>
      <fill>
        <patternFill>
          <bgColor rgb="FFF39C12"/>
        </patternFill>
      </fill>
    </dxf>
    <dxf>
      <font>
        <b/>
        <sz val="10"/>
        <color rgb="FFFFFFFF"/>
        <name val="Calibri"/>
        <charset val="1"/>
      </font>
      <fill>
        <patternFill>
          <bgColor rgb="FFE3000F"/>
        </patternFill>
      </fill>
    </dxf>
    <dxf>
      <font>
        <b/>
        <sz val="22"/>
        <color rgb="FFFFFFFF"/>
        <name val="Calibri"/>
        <charset val="1"/>
      </font>
      <fill>
        <patternFill>
          <bgColor rgb="FF2E7D32"/>
        </patternFill>
      </fill>
    </dxf>
    <dxf>
      <font>
        <b/>
        <sz val="22"/>
        <color rgb="FFFFFFFF"/>
        <name val="Calibri"/>
        <charset val="1"/>
      </font>
      <fill>
        <patternFill>
          <bgColor rgb="FF8BC34A"/>
        </patternFill>
      </fill>
    </dxf>
    <dxf>
      <font>
        <b/>
        <sz val="22"/>
        <color rgb="FFFFFFFF"/>
        <name val="Calibri"/>
        <charset val="1"/>
      </font>
      <fill>
        <patternFill>
          <bgColor rgb="FFF39C12"/>
        </patternFill>
      </fill>
    </dxf>
    <dxf>
      <font>
        <b/>
        <sz val="22"/>
        <color rgb="FFFFFFFF"/>
        <name val="Calibri"/>
        <charset val="1"/>
      </font>
      <fill>
        <patternFill>
          <bgColor rgb="FFE3000F"/>
        </patternFill>
      </fill>
    </dxf>
    <dxf>
      <font>
        <b/>
        <sz val="11"/>
        <color rgb="FF2E7D32"/>
        <name val="Calibri"/>
        <charset val="1"/>
      </font>
    </dxf>
    <dxf>
      <font>
        <b/>
        <sz val="11"/>
        <color rgb="FF558B2F"/>
        <name val="Calibri"/>
        <charset val="1"/>
      </font>
    </dxf>
    <dxf>
      <font>
        <b/>
        <sz val="11"/>
        <color rgb="FFF39C12"/>
        <name val="Calibri"/>
        <charset val="1"/>
      </font>
    </dxf>
    <dxf>
      <font>
        <b/>
        <sz val="11"/>
        <color rgb="FFE3000F"/>
        <name val="Calibri"/>
        <charset val="1"/>
      </font>
    </dxf>
    <dxf>
      <font>
        <b/>
        <sz val="10"/>
        <color rgb="FF721C24"/>
        <name val="Calibri"/>
        <charset val="1"/>
      </font>
      <fill>
        <patternFill>
          <bgColor rgb="FFF8D7DA"/>
        </patternFill>
      </fill>
    </dxf>
    <dxf>
      <font>
        <b/>
        <sz val="10"/>
        <color rgb="FF155724"/>
        <name val="Calibri"/>
        <charset val="1"/>
      </font>
      <fill>
        <patternFill>
          <bgColor rgb="FFD4EDDA"/>
        </patternFill>
      </fill>
    </dxf>
    <dxf>
      <font>
        <b/>
        <sz val="10"/>
        <color rgb="FF721C24"/>
        <name val="Calibri"/>
        <charset val="1"/>
      </font>
      <fill>
        <patternFill>
          <bgColor rgb="FFF8D7DA"/>
        </patternFill>
      </fill>
    </dxf>
    <dxf>
      <font>
        <b/>
        <sz val="10"/>
        <color rgb="FF155724"/>
        <name val="Calibri"/>
        <charset val="1"/>
      </font>
      <fill>
        <patternFill>
          <bgColor rgb="FFD4EDDA"/>
        </patternFill>
      </fill>
    </dxf>
    <dxf>
      <font>
        <b/>
        <sz val="10"/>
        <color rgb="FF721C24"/>
        <name val="Calibri"/>
        <charset val="1"/>
      </font>
      <fill>
        <patternFill>
          <bgColor rgb="FFF8D7DA"/>
        </patternFill>
      </fill>
    </dxf>
    <dxf>
      <font>
        <b/>
        <sz val="10"/>
        <color rgb="FF155724"/>
        <name val="Calibri"/>
        <charset val="1"/>
      </font>
      <fill>
        <patternFill>
          <bgColor rgb="FFD4EDDA"/>
        </patternFill>
      </fill>
    </dxf>
    <dxf>
      <font>
        <b/>
        <sz val="10"/>
        <color rgb="FF721C24"/>
        <name val="Calibri"/>
        <charset val="1"/>
      </font>
      <fill>
        <patternFill>
          <bgColor rgb="FFF8D7DA"/>
        </patternFill>
      </fill>
    </dxf>
    <dxf>
      <font>
        <b/>
        <sz val="10"/>
        <color rgb="FF155724"/>
        <name val="Calibri"/>
        <charset val="1"/>
      </font>
      <fill>
        <patternFill>
          <bgColor rgb="FFD4EDDA"/>
        </patternFill>
      </fill>
    </dxf>
  </dxfs>
  <tableStyles count="0" defaultTableStyle="TableStyleMedium2" defaultPivotStyle="PivotStyleLight16"/>
  <colors>
    <indexedColors>
      <rgbColor rgb="FF000000"/>
      <rgbColor rgb="FFFFFFFF"/>
      <rgbColor rgb="FFE3000F"/>
      <rgbColor rgb="FF00FF00"/>
      <rgbColor rgb="FF0000FF"/>
      <rgbColor rgb="FFFFFF00"/>
      <rgbColor rgb="FFFF00FF"/>
      <rgbColor rgb="FF00FFFF"/>
      <rgbColor rgb="FF721C24"/>
      <rgbColor rgb="FF008000"/>
      <rgbColor rgb="FF000080"/>
      <rgbColor rgb="FF558B2F"/>
      <rgbColor rgb="FF800080"/>
      <rgbColor rgb="FF008080"/>
      <rgbColor rgb="FFBFBFBF"/>
      <rgbColor rgb="FF878787"/>
      <rgbColor rgb="FF9999FF"/>
      <rgbColor rgb="FF993366"/>
      <rgbColor rgb="FFFFF9C4"/>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4EDDA"/>
      <rgbColor rgb="FFFFF8E1"/>
      <rgbColor rgb="FF99CCFF"/>
      <rgbColor rgb="FFFF99CC"/>
      <rgbColor rgb="FFCC99FF"/>
      <rgbColor rgb="FFF8D7DA"/>
      <rgbColor rgb="FF4F81BD"/>
      <rgbColor rgb="FF33CCCC"/>
      <rgbColor rgb="FF8BC34A"/>
      <rgbColor rgb="FFFFCC00"/>
      <rgbColor rgb="FFF39C12"/>
      <rgbColor rgb="FFFF6600"/>
      <rgbColor rgb="FF595959"/>
      <rgbColor rgb="FF969696"/>
      <rgbColor rgb="FF003366"/>
      <rgbColor rgb="FF2E7D32"/>
      <rgbColor rgb="FF155724"/>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Procurement maturity by dimension</a:t>
            </a:r>
          </a:p>
        </c:rich>
      </c:tx>
      <c:overlay val="0"/>
      <c:spPr>
        <a:noFill/>
        <a:ln w="0">
          <a:noFill/>
        </a:ln>
      </c:spPr>
    </c:title>
    <c:autoTitleDeleted val="0"/>
    <c:plotArea>
      <c:layout/>
      <c:barChart>
        <c:barDir val="bar"/>
        <c:grouping val="clustered"/>
        <c:varyColors val="0"/>
        <c:ser>
          <c:idx val="0"/>
          <c:order val="0"/>
          <c:tx>
            <c:strRef>
              <c:f>'3. Results Dashboard'!$D$13</c:f>
              <c:strCache>
                <c:ptCount val="1"/>
                <c:pt idx="0">
                  <c:v>Score %</c:v>
                </c:pt>
              </c:strCache>
            </c:strRef>
          </c:tx>
          <c:spPr>
            <a:solidFill>
              <a:srgbClr val="4F81BD"/>
            </a:solidFill>
            <a:ln w="0">
              <a:noFill/>
            </a:ln>
          </c:spPr>
          <c:invertIfNegative val="0"/>
          <c:cat>
            <c:strRef>
              <c:f>'3. Results Dashboard'!$B$14:$B$17</c:f>
              <c:strCache>
                <c:ptCount val="4"/>
                <c:pt idx="0">
                  <c:v>Category Management</c:v>
                </c:pt>
                <c:pt idx="1">
                  <c:v>Spend Analysis</c:v>
                </c:pt>
                <c:pt idx="2">
                  <c:v>Strategic Sourcing</c:v>
                </c:pt>
                <c:pt idx="3">
                  <c:v>Supplier Relationship Management</c:v>
                </c:pt>
              </c:strCache>
            </c:strRef>
          </c:cat>
          <c:val>
            <c:numRef>
              <c:f>'3. Results Dashboard'!$D$14:$D$17</c:f>
              <c:numCache>
                <c:formatCode>0%</c:formatCode>
                <c:ptCount val="4"/>
                <c:pt idx="0">
                  <c:v>0</c:v>
                </c:pt>
                <c:pt idx="1">
                  <c:v>0</c:v>
                </c:pt>
                <c:pt idx="2">
                  <c:v>0</c:v>
                </c:pt>
                <c:pt idx="3">
                  <c:v>0</c:v>
                </c:pt>
              </c:numCache>
            </c:numRef>
          </c:val>
          <c:extLst>
            <c:ext xmlns:c16="http://schemas.microsoft.com/office/drawing/2014/chart" uri="{C3380CC4-5D6E-409C-BE32-E72D297353CC}">
              <c16:uniqueId val="{00000000-5502-434C-8FC1-0A2DA2AFE060}"/>
            </c:ext>
          </c:extLst>
        </c:ser>
        <c:dLbls>
          <c:showLegendKey val="0"/>
          <c:showVal val="0"/>
          <c:showCatName val="0"/>
          <c:showSerName val="0"/>
          <c:showPercent val="0"/>
          <c:showBubbleSize val="0"/>
        </c:dLbls>
        <c:gapWidth val="150"/>
        <c:axId val="94730143"/>
        <c:axId val="76050097"/>
      </c:barChart>
      <c:catAx>
        <c:axId val="94730143"/>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Score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050097"/>
        <c:crosses val="autoZero"/>
        <c:auto val="1"/>
        <c:lblAlgn val="ctr"/>
        <c:lblOffset val="100"/>
        <c:noMultiLvlLbl val="0"/>
      </c:catAx>
      <c:valAx>
        <c:axId val="76050097"/>
        <c:scaling>
          <c:orientation val="minMax"/>
          <c:max val="1"/>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7301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5210176</xdr:colOff>
      <xdr:row>2</xdr:row>
      <xdr:rowOff>182208</xdr:rowOff>
    </xdr:from>
    <xdr:to>
      <xdr:col>3</xdr:col>
      <xdr:colOff>47626</xdr:colOff>
      <xdr:row>3</xdr:row>
      <xdr:rowOff>276225</xdr:rowOff>
    </xdr:to>
    <xdr:pic>
      <xdr:nvPicPr>
        <xdr:cNvPr id="2" name="Picture 5">
          <a:extLst>
            <a:ext uri="{FF2B5EF4-FFF2-40B4-BE49-F238E27FC236}">
              <a16:creationId xmlns:a16="http://schemas.microsoft.com/office/drawing/2014/main" id="{DF112EF0-5B96-4965-B307-E3EACFA8C5CF}"/>
            </a:ext>
          </a:extLst>
        </xdr:cNvPr>
        <xdr:cNvPicPr>
          <a:picLocks noChangeAspect="1" noChangeArrowheads="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277101" y="515583"/>
          <a:ext cx="1085850" cy="570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3730626</xdr:colOff>
      <xdr:row>2</xdr:row>
      <xdr:rowOff>238126</xdr:rowOff>
    </xdr:from>
    <xdr:to>
      <xdr:col>2</xdr:col>
      <xdr:colOff>4991702</xdr:colOff>
      <xdr:row>3</xdr:row>
      <xdr:rowOff>214314</xdr:rowOff>
    </xdr:to>
    <xdr:pic>
      <xdr:nvPicPr>
        <xdr:cNvPr id="4" name="Picture 3">
          <a:extLst>
            <a:ext uri="{FF2B5EF4-FFF2-40B4-BE49-F238E27FC236}">
              <a16:creationId xmlns:a16="http://schemas.microsoft.com/office/drawing/2014/main" id="{0B9B2596-1EEE-4391-BA00-18EB2B3336D5}"/>
            </a:ext>
          </a:extLst>
        </xdr:cNvPr>
        <xdr:cNvPicPr>
          <a:picLocks noChangeAspect="1"/>
        </xdr:cNvPicPr>
      </xdr:nvPicPr>
      <xdr:blipFill rotWithShape="1">
        <a:blip xmlns:r="http://schemas.openxmlformats.org/officeDocument/2006/relationships" r:embed="rId2"/>
        <a:srcRect l="8196" t="20320" r="8211" b="26333"/>
        <a:stretch/>
      </xdr:blipFill>
      <xdr:spPr>
        <a:xfrm>
          <a:off x="5794376" y="571501"/>
          <a:ext cx="1261076" cy="4524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6</xdr:col>
      <xdr:colOff>0</xdr:colOff>
      <xdr:row>33</xdr:row>
      <xdr:rowOff>21960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W32"/>
  <sheetViews>
    <sheetView showGridLines="0" tabSelected="1" zoomScale="120" zoomScaleNormal="120" workbookViewId="0">
      <selection activeCell="C14" sqref="C14"/>
    </sheetView>
  </sheetViews>
  <sheetFormatPr defaultColWidth="0" defaultRowHeight="15"/>
  <cols>
    <col min="1" max="1" width="3" customWidth="1"/>
    <col min="2" max="2" width="28" customWidth="1"/>
    <col min="3" max="3" width="93.7109375" customWidth="1"/>
    <col min="4" max="4" width="3" customWidth="1"/>
    <col min="5" max="23" width="0" hidden="1" customWidth="1"/>
    <col min="24" max="16384" width="8.7109375" hidden="1"/>
  </cols>
  <sheetData>
    <row r="1" spans="2:23" s="25" customFormat="1" ht="22.15" customHeight="1">
      <c r="P1" s="26"/>
      <c r="V1" s="27"/>
      <c r="W1" s="27"/>
    </row>
    <row r="2" spans="2:23" s="28" customFormat="1" ht="4.5" customHeight="1">
      <c r="P2" s="29"/>
      <c r="V2" s="30"/>
      <c r="W2" s="30"/>
    </row>
    <row r="3" spans="2:23" ht="37.5" customHeight="1">
      <c r="B3" s="41" t="s">
        <v>174</v>
      </c>
      <c r="C3" s="41"/>
    </row>
    <row r="4" spans="2:23" ht="30" customHeight="1">
      <c r="B4" s="42" t="s">
        <v>0</v>
      </c>
      <c r="C4" s="42"/>
    </row>
    <row r="5" spans="2:23">
      <c r="B5" s="43" t="s">
        <v>1</v>
      </c>
      <c r="C5" s="43"/>
    </row>
    <row r="6" spans="2:23" ht="3.75" customHeight="1">
      <c r="B6" s="31"/>
      <c r="C6" s="31"/>
    </row>
    <row r="8" spans="2:23" ht="24" customHeight="1">
      <c r="B8" s="39" t="s">
        <v>2</v>
      </c>
      <c r="C8" s="39"/>
    </row>
    <row r="9" spans="2:23" ht="69.75" customHeight="1">
      <c r="B9" s="44" t="s">
        <v>3</v>
      </c>
      <c r="C9" s="44"/>
    </row>
    <row r="11" spans="2:23" ht="24" customHeight="1">
      <c r="B11" s="39" t="s">
        <v>4</v>
      </c>
      <c r="C11" s="39"/>
    </row>
    <row r="12" spans="2:23" s="22" customFormat="1" ht="21.75" customHeight="1">
      <c r="B12" s="23" t="s">
        <v>5</v>
      </c>
      <c r="C12" s="24" t="s">
        <v>6</v>
      </c>
    </row>
    <row r="13" spans="2:23" s="22" customFormat="1" ht="21.75" customHeight="1">
      <c r="B13" s="23" t="s">
        <v>7</v>
      </c>
      <c r="C13" s="24" t="s">
        <v>8</v>
      </c>
    </row>
    <row r="14" spans="2:23" s="22" customFormat="1" ht="21.75" customHeight="1">
      <c r="B14" s="23" t="s">
        <v>9</v>
      </c>
      <c r="C14" s="24" t="s">
        <v>10</v>
      </c>
    </row>
    <row r="15" spans="2:23" s="22" customFormat="1" ht="21.75" customHeight="1">
      <c r="B15" s="23" t="s">
        <v>11</v>
      </c>
      <c r="C15" s="24" t="s">
        <v>12</v>
      </c>
    </row>
    <row r="16" spans="2:23" s="22" customFormat="1" ht="21.75" customHeight="1">
      <c r="B16" s="23" t="s">
        <v>13</v>
      </c>
      <c r="C16" s="24" t="s">
        <v>14</v>
      </c>
    </row>
    <row r="18" spans="2:3" ht="24" customHeight="1">
      <c r="B18" s="39" t="s">
        <v>15</v>
      </c>
      <c r="C18" s="39"/>
    </row>
    <row r="19" spans="2:3" ht="18" customHeight="1">
      <c r="B19" s="1" t="s">
        <v>16</v>
      </c>
      <c r="C19" s="2" t="s">
        <v>17</v>
      </c>
    </row>
    <row r="20" spans="2:3" ht="18" customHeight="1">
      <c r="B20" s="1" t="s">
        <v>18</v>
      </c>
      <c r="C20" s="2" t="s">
        <v>19</v>
      </c>
    </row>
    <row r="21" spans="2:3" ht="18" customHeight="1">
      <c r="B21" s="1" t="s">
        <v>20</v>
      </c>
      <c r="C21" s="2" t="s">
        <v>21</v>
      </c>
    </row>
    <row r="22" spans="2:3" ht="18" customHeight="1">
      <c r="B22" s="1" t="s">
        <v>22</v>
      </c>
      <c r="C22" s="2" t="s">
        <v>23</v>
      </c>
    </row>
    <row r="24" spans="2:3" ht="24" customHeight="1">
      <c r="B24" s="39" t="s">
        <v>24</v>
      </c>
      <c r="C24" s="39"/>
    </row>
    <row r="25" spans="2:3" ht="19.5" customHeight="1">
      <c r="B25" s="32" t="s">
        <v>25</v>
      </c>
      <c r="C25" s="32" t="s">
        <v>26</v>
      </c>
    </row>
    <row r="26" spans="2:3" ht="24" customHeight="1">
      <c r="B26" s="3" t="s">
        <v>27</v>
      </c>
      <c r="C26" s="4" t="s">
        <v>28</v>
      </c>
    </row>
    <row r="27" spans="2:3" ht="24" customHeight="1">
      <c r="B27" s="5" t="s">
        <v>29</v>
      </c>
      <c r="C27" s="4" t="s">
        <v>30</v>
      </c>
    </row>
    <row r="28" spans="2:3" ht="24" customHeight="1">
      <c r="B28" s="6" t="s">
        <v>31</v>
      </c>
      <c r="C28" s="4" t="s">
        <v>32</v>
      </c>
    </row>
    <row r="29" spans="2:3" ht="24" customHeight="1">
      <c r="B29" s="7" t="s">
        <v>33</v>
      </c>
      <c r="C29" s="4" t="s">
        <v>34</v>
      </c>
    </row>
    <row r="32" spans="2:3">
      <c r="B32" s="40"/>
      <c r="C32" s="40"/>
    </row>
  </sheetData>
  <mergeCells count="9">
    <mergeCell ref="B11:C11"/>
    <mergeCell ref="B18:C18"/>
    <mergeCell ref="B24:C24"/>
    <mergeCell ref="B32:C32"/>
    <mergeCell ref="B3:C3"/>
    <mergeCell ref="B4:C4"/>
    <mergeCell ref="B5:C5"/>
    <mergeCell ref="B8:C8"/>
    <mergeCell ref="B9:C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79998168889431442"/>
  </sheetPr>
  <dimension ref="B1:W59"/>
  <sheetViews>
    <sheetView showGridLines="0" zoomScale="115" zoomScaleNormal="115" workbookViewId="0">
      <pane ySplit="6" topLeftCell="A7" activePane="bottomLeft" state="frozen"/>
      <selection activeCell="B11" sqref="B11:C11"/>
      <selection pane="bottomLeft" activeCell="G12" sqref="G12"/>
    </sheetView>
  </sheetViews>
  <sheetFormatPr defaultColWidth="8.7109375" defaultRowHeight="15"/>
  <cols>
    <col min="1" max="1" width="2" customWidth="1"/>
    <col min="2" max="2" width="6" customWidth="1"/>
    <col min="3" max="3" width="95" customWidth="1"/>
    <col min="4" max="4" width="14" customWidth="1"/>
    <col min="5" max="5" width="10" customWidth="1"/>
    <col min="6" max="6" width="2" customWidth="1"/>
  </cols>
  <sheetData>
    <row r="1" spans="2:23" s="25" customFormat="1" ht="22.15" customHeight="1">
      <c r="P1" s="26"/>
      <c r="V1" s="27"/>
      <c r="W1" s="27"/>
    </row>
    <row r="2" spans="2:23" s="28" customFormat="1" ht="4.5" customHeight="1">
      <c r="P2" s="29"/>
      <c r="V2" s="30"/>
      <c r="W2" s="30"/>
    </row>
    <row r="3" spans="2:23" ht="30" customHeight="1">
      <c r="B3" s="45" t="s">
        <v>35</v>
      </c>
      <c r="C3" s="45"/>
      <c r="D3" s="45"/>
      <c r="E3" s="45"/>
    </row>
    <row r="4" spans="2:23">
      <c r="B4" s="46" t="s">
        <v>36</v>
      </c>
      <c r="C4" s="46"/>
      <c r="D4" s="46"/>
      <c r="E4" s="46"/>
    </row>
    <row r="6" spans="2:23" ht="24" customHeight="1">
      <c r="B6" s="33" t="s">
        <v>37</v>
      </c>
      <c r="C6" s="33" t="s">
        <v>38</v>
      </c>
      <c r="D6" s="33" t="s">
        <v>39</v>
      </c>
      <c r="E6" s="33" t="s">
        <v>40</v>
      </c>
    </row>
    <row r="7" spans="2:23" ht="21.75" customHeight="1">
      <c r="B7" s="47" t="s">
        <v>41</v>
      </c>
      <c r="C7" s="47"/>
      <c r="D7" s="47"/>
      <c r="E7" s="47"/>
    </row>
    <row r="8" spans="2:23" ht="30" customHeight="1">
      <c r="B8" s="8" t="s">
        <v>42</v>
      </c>
      <c r="C8" s="9" t="s">
        <v>43</v>
      </c>
      <c r="D8" s="10"/>
      <c r="E8" s="11" t="str">
        <f t="shared" ref="E8:E17" si="0">IF(D8="Yes",1,IF(D8="No",0,""))</f>
        <v/>
      </c>
    </row>
    <row r="9" spans="2:23" ht="30" customHeight="1">
      <c r="B9" s="12" t="s">
        <v>44</v>
      </c>
      <c r="C9" s="13" t="s">
        <v>45</v>
      </c>
      <c r="D9" s="10"/>
      <c r="E9" s="14" t="str">
        <f t="shared" si="0"/>
        <v/>
      </c>
    </row>
    <row r="10" spans="2:23" ht="30" customHeight="1">
      <c r="B10" s="8" t="s">
        <v>46</v>
      </c>
      <c r="C10" s="9" t="s">
        <v>47</v>
      </c>
      <c r="D10" s="10"/>
      <c r="E10" s="11" t="str">
        <f t="shared" si="0"/>
        <v/>
      </c>
    </row>
    <row r="11" spans="2:23" ht="30" customHeight="1">
      <c r="B11" s="12" t="s">
        <v>48</v>
      </c>
      <c r="C11" s="13" t="s">
        <v>49</v>
      </c>
      <c r="D11" s="10"/>
      <c r="E11" s="14" t="str">
        <f t="shared" si="0"/>
        <v/>
      </c>
    </row>
    <row r="12" spans="2:23" ht="30" customHeight="1">
      <c r="B12" s="8" t="s">
        <v>50</v>
      </c>
      <c r="C12" s="9" t="s">
        <v>51</v>
      </c>
      <c r="D12" s="10"/>
      <c r="E12" s="11" t="str">
        <f t="shared" si="0"/>
        <v/>
      </c>
    </row>
    <row r="13" spans="2:23" ht="30" customHeight="1">
      <c r="B13" s="12" t="s">
        <v>52</v>
      </c>
      <c r="C13" s="13" t="s">
        <v>53</v>
      </c>
      <c r="D13" s="10"/>
      <c r="E13" s="14" t="str">
        <f t="shared" si="0"/>
        <v/>
      </c>
    </row>
    <row r="14" spans="2:23" ht="30" customHeight="1">
      <c r="B14" s="8" t="s">
        <v>54</v>
      </c>
      <c r="C14" s="9" t="s">
        <v>55</v>
      </c>
      <c r="D14" s="10"/>
      <c r="E14" s="11" t="str">
        <f t="shared" si="0"/>
        <v/>
      </c>
    </row>
    <row r="15" spans="2:23" ht="30" customHeight="1">
      <c r="B15" s="12" t="s">
        <v>56</v>
      </c>
      <c r="C15" s="13" t="s">
        <v>57</v>
      </c>
      <c r="D15" s="10"/>
      <c r="E15" s="14" t="str">
        <f t="shared" si="0"/>
        <v/>
      </c>
    </row>
    <row r="16" spans="2:23" ht="30" customHeight="1">
      <c r="B16" s="8" t="s">
        <v>58</v>
      </c>
      <c r="C16" s="9" t="s">
        <v>59</v>
      </c>
      <c r="D16" s="10"/>
      <c r="E16" s="11" t="str">
        <f t="shared" si="0"/>
        <v/>
      </c>
    </row>
    <row r="17" spans="2:5" ht="30" customHeight="1">
      <c r="B17" s="12" t="s">
        <v>60</v>
      </c>
      <c r="C17" s="13" t="s">
        <v>173</v>
      </c>
      <c r="D17" s="10"/>
      <c r="E17" s="14" t="str">
        <f t="shared" si="0"/>
        <v/>
      </c>
    </row>
    <row r="18" spans="2:5" ht="21.75" customHeight="1">
      <c r="B18" s="48" t="s">
        <v>61</v>
      </c>
      <c r="C18" s="48"/>
      <c r="D18" s="15" t="str">
        <f>COUNTIF(D8:D17,"Yes")&amp;" of 10"</f>
        <v>0 of 10</v>
      </c>
      <c r="E18" s="15">
        <f>SUM(E8:E17)</f>
        <v>0</v>
      </c>
    </row>
    <row r="20" spans="2:5" ht="21.75" customHeight="1">
      <c r="B20" s="47" t="s">
        <v>62</v>
      </c>
      <c r="C20" s="47"/>
      <c r="D20" s="47"/>
      <c r="E20" s="47"/>
    </row>
    <row r="21" spans="2:5" ht="30" customHeight="1">
      <c r="B21" s="8" t="s">
        <v>63</v>
      </c>
      <c r="C21" s="9" t="s">
        <v>64</v>
      </c>
      <c r="D21" s="10"/>
      <c r="E21" s="11" t="str">
        <f t="shared" ref="E21:E30" si="1">IF(D21="Yes",1,IF(D21="No",0,""))</f>
        <v/>
      </c>
    </row>
    <row r="22" spans="2:5" ht="30" customHeight="1">
      <c r="B22" s="12" t="s">
        <v>65</v>
      </c>
      <c r="C22" s="13" t="s">
        <v>66</v>
      </c>
      <c r="D22" s="10"/>
      <c r="E22" s="14" t="str">
        <f t="shared" si="1"/>
        <v/>
      </c>
    </row>
    <row r="23" spans="2:5" ht="30" customHeight="1">
      <c r="B23" s="8" t="s">
        <v>67</v>
      </c>
      <c r="C23" s="9" t="s">
        <v>68</v>
      </c>
      <c r="D23" s="10"/>
      <c r="E23" s="11" t="str">
        <f t="shared" si="1"/>
        <v/>
      </c>
    </row>
    <row r="24" spans="2:5" ht="30" customHeight="1">
      <c r="B24" s="12" t="s">
        <v>69</v>
      </c>
      <c r="C24" s="13" t="s">
        <v>70</v>
      </c>
      <c r="D24" s="10"/>
      <c r="E24" s="14" t="str">
        <f t="shared" si="1"/>
        <v/>
      </c>
    </row>
    <row r="25" spans="2:5" ht="30" customHeight="1">
      <c r="B25" s="8" t="s">
        <v>71</v>
      </c>
      <c r="C25" s="9" t="s">
        <v>72</v>
      </c>
      <c r="D25" s="10"/>
      <c r="E25" s="11" t="str">
        <f t="shared" si="1"/>
        <v/>
      </c>
    </row>
    <row r="26" spans="2:5" ht="30" customHeight="1">
      <c r="B26" s="12" t="s">
        <v>73</v>
      </c>
      <c r="C26" s="13" t="s">
        <v>74</v>
      </c>
      <c r="D26" s="10"/>
      <c r="E26" s="14" t="str">
        <f t="shared" si="1"/>
        <v/>
      </c>
    </row>
    <row r="27" spans="2:5" ht="30" customHeight="1">
      <c r="B27" s="8" t="s">
        <v>75</v>
      </c>
      <c r="C27" s="9" t="s">
        <v>76</v>
      </c>
      <c r="D27" s="10"/>
      <c r="E27" s="11" t="str">
        <f t="shared" si="1"/>
        <v/>
      </c>
    </row>
    <row r="28" spans="2:5" ht="30" customHeight="1">
      <c r="B28" s="12" t="s">
        <v>77</v>
      </c>
      <c r="C28" s="13" t="s">
        <v>78</v>
      </c>
      <c r="D28" s="10"/>
      <c r="E28" s="14" t="str">
        <f t="shared" si="1"/>
        <v/>
      </c>
    </row>
    <row r="29" spans="2:5" ht="30" customHeight="1">
      <c r="B29" s="8" t="s">
        <v>79</v>
      </c>
      <c r="C29" s="9" t="s">
        <v>80</v>
      </c>
      <c r="D29" s="10"/>
      <c r="E29" s="11" t="str">
        <f t="shared" si="1"/>
        <v/>
      </c>
    </row>
    <row r="30" spans="2:5" ht="30" customHeight="1">
      <c r="B30" s="12" t="s">
        <v>81</v>
      </c>
      <c r="C30" s="13" t="s">
        <v>82</v>
      </c>
      <c r="D30" s="10"/>
      <c r="E30" s="14" t="str">
        <f t="shared" si="1"/>
        <v/>
      </c>
    </row>
    <row r="31" spans="2:5" ht="21.75" customHeight="1">
      <c r="B31" s="48" t="s">
        <v>61</v>
      </c>
      <c r="C31" s="48"/>
      <c r="D31" s="15" t="str">
        <f>COUNTIF(D21:D30,"Yes")&amp;" of 10"</f>
        <v>0 of 10</v>
      </c>
      <c r="E31" s="15">
        <f>SUM(E21:E30)</f>
        <v>0</v>
      </c>
    </row>
    <row r="33" spans="2:5" ht="21.75" customHeight="1">
      <c r="B33" s="47" t="s">
        <v>83</v>
      </c>
      <c r="C33" s="47"/>
      <c r="D33" s="47"/>
      <c r="E33" s="47"/>
    </row>
    <row r="34" spans="2:5" ht="30" customHeight="1">
      <c r="B34" s="8" t="s">
        <v>84</v>
      </c>
      <c r="C34" s="9" t="s">
        <v>85</v>
      </c>
      <c r="D34" s="10"/>
      <c r="E34" s="11" t="str">
        <f t="shared" ref="E34:E43" si="2">IF(D34="Yes",1,IF(D34="No",0,""))</f>
        <v/>
      </c>
    </row>
    <row r="35" spans="2:5" ht="30" customHeight="1">
      <c r="B35" s="12" t="s">
        <v>86</v>
      </c>
      <c r="C35" s="13" t="s">
        <v>87</v>
      </c>
      <c r="D35" s="10"/>
      <c r="E35" s="14" t="str">
        <f t="shared" si="2"/>
        <v/>
      </c>
    </row>
    <row r="36" spans="2:5" ht="30" customHeight="1">
      <c r="B36" s="8" t="s">
        <v>88</v>
      </c>
      <c r="C36" s="9" t="s">
        <v>89</v>
      </c>
      <c r="D36" s="10"/>
      <c r="E36" s="11" t="str">
        <f t="shared" si="2"/>
        <v/>
      </c>
    </row>
    <row r="37" spans="2:5" ht="30" customHeight="1">
      <c r="B37" s="12" t="s">
        <v>90</v>
      </c>
      <c r="C37" s="13" t="s">
        <v>91</v>
      </c>
      <c r="D37" s="10"/>
      <c r="E37" s="14" t="str">
        <f t="shared" si="2"/>
        <v/>
      </c>
    </row>
    <row r="38" spans="2:5" ht="30" customHeight="1">
      <c r="B38" s="8" t="s">
        <v>92</v>
      </c>
      <c r="C38" s="9" t="s">
        <v>93</v>
      </c>
      <c r="D38" s="10"/>
      <c r="E38" s="11" t="str">
        <f t="shared" si="2"/>
        <v/>
      </c>
    </row>
    <row r="39" spans="2:5" ht="30" customHeight="1">
      <c r="B39" s="12" t="s">
        <v>94</v>
      </c>
      <c r="C39" s="13" t="s">
        <v>95</v>
      </c>
      <c r="D39" s="10"/>
      <c r="E39" s="14" t="str">
        <f t="shared" si="2"/>
        <v/>
      </c>
    </row>
    <row r="40" spans="2:5" ht="30" customHeight="1">
      <c r="B40" s="8" t="s">
        <v>96</v>
      </c>
      <c r="C40" s="9" t="s">
        <v>97</v>
      </c>
      <c r="D40" s="10"/>
      <c r="E40" s="11" t="str">
        <f t="shared" si="2"/>
        <v/>
      </c>
    </row>
    <row r="41" spans="2:5" ht="30" customHeight="1">
      <c r="B41" s="12" t="s">
        <v>98</v>
      </c>
      <c r="C41" s="13" t="s">
        <v>99</v>
      </c>
      <c r="D41" s="10"/>
      <c r="E41" s="14" t="str">
        <f t="shared" si="2"/>
        <v/>
      </c>
    </row>
    <row r="42" spans="2:5" ht="30" customHeight="1">
      <c r="B42" s="8" t="s">
        <v>100</v>
      </c>
      <c r="C42" s="9" t="s">
        <v>101</v>
      </c>
      <c r="D42" s="10"/>
      <c r="E42" s="11" t="str">
        <f t="shared" si="2"/>
        <v/>
      </c>
    </row>
    <row r="43" spans="2:5" ht="30" customHeight="1">
      <c r="B43" s="12" t="s">
        <v>102</v>
      </c>
      <c r="C43" s="13" t="s">
        <v>103</v>
      </c>
      <c r="D43" s="10"/>
      <c r="E43" s="14" t="str">
        <f t="shared" si="2"/>
        <v/>
      </c>
    </row>
    <row r="44" spans="2:5" ht="21.75" customHeight="1">
      <c r="B44" s="48" t="s">
        <v>61</v>
      </c>
      <c r="C44" s="48"/>
      <c r="D44" s="15" t="str">
        <f>COUNTIF(D34:D43,"Yes")&amp;" of 10"</f>
        <v>0 of 10</v>
      </c>
      <c r="E44" s="15">
        <f>SUM(E34:E43)</f>
        <v>0</v>
      </c>
    </row>
    <row r="46" spans="2:5" ht="21.75" customHeight="1">
      <c r="B46" s="47" t="s">
        <v>104</v>
      </c>
      <c r="C46" s="47"/>
      <c r="D46" s="47"/>
      <c r="E46" s="47"/>
    </row>
    <row r="47" spans="2:5" ht="30" customHeight="1">
      <c r="B47" s="8" t="s">
        <v>105</v>
      </c>
      <c r="C47" s="9" t="s">
        <v>106</v>
      </c>
      <c r="D47" s="10"/>
      <c r="E47" s="11" t="str">
        <f t="shared" ref="E47:E56" si="3">IF(D47="Yes",1,IF(D47="No",0,""))</f>
        <v/>
      </c>
    </row>
    <row r="48" spans="2:5" ht="30" customHeight="1">
      <c r="B48" s="12" t="s">
        <v>107</v>
      </c>
      <c r="C48" s="13" t="s">
        <v>108</v>
      </c>
      <c r="D48" s="10"/>
      <c r="E48" s="14" t="str">
        <f t="shared" si="3"/>
        <v/>
      </c>
    </row>
    <row r="49" spans="2:5" ht="30" customHeight="1">
      <c r="B49" s="8" t="s">
        <v>109</v>
      </c>
      <c r="C49" s="9" t="s">
        <v>110</v>
      </c>
      <c r="D49" s="10"/>
      <c r="E49" s="11" t="str">
        <f t="shared" si="3"/>
        <v/>
      </c>
    </row>
    <row r="50" spans="2:5" ht="30" customHeight="1">
      <c r="B50" s="12" t="s">
        <v>111</v>
      </c>
      <c r="C50" s="13" t="s">
        <v>112</v>
      </c>
      <c r="D50" s="10"/>
      <c r="E50" s="14" t="str">
        <f t="shared" si="3"/>
        <v/>
      </c>
    </row>
    <row r="51" spans="2:5" ht="30" customHeight="1">
      <c r="B51" s="8" t="s">
        <v>113</v>
      </c>
      <c r="C51" s="9" t="s">
        <v>114</v>
      </c>
      <c r="D51" s="10"/>
      <c r="E51" s="11" t="str">
        <f t="shared" si="3"/>
        <v/>
      </c>
    </row>
    <row r="52" spans="2:5" ht="30" customHeight="1">
      <c r="B52" s="12" t="s">
        <v>115</v>
      </c>
      <c r="C52" s="13" t="s">
        <v>116</v>
      </c>
      <c r="D52" s="10"/>
      <c r="E52" s="14" t="str">
        <f t="shared" si="3"/>
        <v/>
      </c>
    </row>
    <row r="53" spans="2:5" ht="30" customHeight="1">
      <c r="B53" s="8" t="s">
        <v>117</v>
      </c>
      <c r="C53" s="9" t="s">
        <v>118</v>
      </c>
      <c r="D53" s="10"/>
      <c r="E53" s="11" t="str">
        <f t="shared" si="3"/>
        <v/>
      </c>
    </row>
    <row r="54" spans="2:5" ht="30" customHeight="1">
      <c r="B54" s="12" t="s">
        <v>119</v>
      </c>
      <c r="C54" s="13" t="s">
        <v>120</v>
      </c>
      <c r="D54" s="10"/>
      <c r="E54" s="14" t="str">
        <f t="shared" si="3"/>
        <v/>
      </c>
    </row>
    <row r="55" spans="2:5" ht="30" customHeight="1">
      <c r="B55" s="8" t="s">
        <v>121</v>
      </c>
      <c r="C55" s="9" t="s">
        <v>122</v>
      </c>
      <c r="D55" s="10"/>
      <c r="E55" s="11" t="str">
        <f t="shared" si="3"/>
        <v/>
      </c>
    </row>
    <row r="56" spans="2:5" ht="30" customHeight="1">
      <c r="B56" s="12" t="s">
        <v>123</v>
      </c>
      <c r="C56" s="13" t="s">
        <v>124</v>
      </c>
      <c r="D56" s="10"/>
      <c r="E56" s="14" t="str">
        <f t="shared" si="3"/>
        <v/>
      </c>
    </row>
    <row r="57" spans="2:5" ht="21.75" customHeight="1">
      <c r="B57" s="48" t="s">
        <v>61</v>
      </c>
      <c r="C57" s="48"/>
      <c r="D57" s="15" t="str">
        <f>COUNTIF(D47:D56,"Yes")&amp;" of 10"</f>
        <v>0 of 10</v>
      </c>
      <c r="E57" s="15">
        <f>SUM(E47:E56)</f>
        <v>0</v>
      </c>
    </row>
    <row r="59" spans="2:5" ht="25.5" customHeight="1">
      <c r="B59" s="49" t="s">
        <v>125</v>
      </c>
      <c r="C59" s="49"/>
      <c r="D59" s="36" t="str">
        <f>(E18+E31+E44+E57)&amp;" of 40"</f>
        <v>0 of 40</v>
      </c>
      <c r="E59" s="36">
        <f>E18+E31+E44+E57</f>
        <v>0</v>
      </c>
    </row>
  </sheetData>
  <mergeCells count="11">
    <mergeCell ref="B59:C59"/>
    <mergeCell ref="B31:C31"/>
    <mergeCell ref="B33:E33"/>
    <mergeCell ref="B44:C44"/>
    <mergeCell ref="B46:E46"/>
    <mergeCell ref="B57:C57"/>
    <mergeCell ref="B3:E3"/>
    <mergeCell ref="B4:E4"/>
    <mergeCell ref="B7:E7"/>
    <mergeCell ref="B18:C18"/>
    <mergeCell ref="B20:E20"/>
  </mergeCells>
  <conditionalFormatting sqref="D8:D17">
    <cfRule type="cellIs" dxfId="19" priority="32" operator="equal">
      <formula>"Yes"</formula>
    </cfRule>
    <cfRule type="cellIs" dxfId="18" priority="33" operator="equal">
      <formula>"No"</formula>
    </cfRule>
  </conditionalFormatting>
  <conditionalFormatting sqref="D21:D30">
    <cfRule type="cellIs" dxfId="17" priority="3" operator="equal">
      <formula>"Yes"</formula>
    </cfRule>
    <cfRule type="cellIs" dxfId="16" priority="4" operator="equal">
      <formula>"No"</formula>
    </cfRule>
  </conditionalFormatting>
  <conditionalFormatting sqref="D34:D43">
    <cfRule type="cellIs" dxfId="15" priority="1" operator="equal">
      <formula>"Yes"</formula>
    </cfRule>
    <cfRule type="cellIs" dxfId="14" priority="2" operator="equal">
      <formula>"No"</formula>
    </cfRule>
  </conditionalFormatting>
  <conditionalFormatting sqref="D47:D56">
    <cfRule type="cellIs" dxfId="13" priority="7" operator="equal">
      <formula>"Yes"</formula>
    </cfRule>
    <cfRule type="cellIs" dxfId="12" priority="8" operator="equal">
      <formula>"No"</formula>
    </cfRule>
  </conditionalFormatting>
  <dataValidations count="1">
    <dataValidation type="list" allowBlank="1" showInputMessage="1" showErrorMessage="1" errorTitle="Invalid response" error="Please select Yes or No from the drop-down list." promptTitle="Response" prompt="Select Yes or No" sqref="D21:D30 D8:D17 D34:D43 D47:D56" xr:uid="{00000000-0002-0000-01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9998168889431442"/>
  </sheetPr>
  <dimension ref="B1:W45"/>
  <sheetViews>
    <sheetView showGridLines="0" zoomScale="110" zoomScaleNormal="110" workbookViewId="0">
      <selection activeCell="F41" sqref="F41"/>
    </sheetView>
  </sheetViews>
  <sheetFormatPr defaultColWidth="8.7109375" defaultRowHeight="15"/>
  <cols>
    <col min="1" max="1" width="2" customWidth="1"/>
    <col min="2" max="2" width="38" customWidth="1"/>
    <col min="3" max="4" width="16" customWidth="1"/>
    <col min="5" max="5" width="14" customWidth="1"/>
    <col min="6" max="6" width="29.140625" customWidth="1"/>
    <col min="7" max="7" width="2" customWidth="1"/>
    <col min="8" max="8" width="12.42578125" hidden="1" customWidth="1"/>
  </cols>
  <sheetData>
    <row r="1" spans="2:23" s="25" customFormat="1" ht="22.15" customHeight="1">
      <c r="H1"/>
      <c r="P1" s="26"/>
      <c r="V1" s="27"/>
      <c r="W1" s="27"/>
    </row>
    <row r="2" spans="2:23" s="28" customFormat="1" ht="4.5" customHeight="1">
      <c r="H2"/>
      <c r="P2" s="29"/>
      <c r="V2" s="30"/>
      <c r="W2" s="30"/>
    </row>
    <row r="3" spans="2:23" ht="30" customHeight="1">
      <c r="B3" s="45" t="s">
        <v>126</v>
      </c>
      <c r="C3" s="45"/>
      <c r="D3" s="45"/>
      <c r="E3" s="45"/>
      <c r="F3" s="45"/>
    </row>
    <row r="4" spans="2:23">
      <c r="B4" s="46" t="s">
        <v>127</v>
      </c>
      <c r="C4" s="46"/>
      <c r="D4" s="46"/>
      <c r="E4" s="46"/>
      <c r="F4" s="46"/>
    </row>
    <row r="6" spans="2:23" ht="21.75" customHeight="1">
      <c r="B6" s="50" t="s">
        <v>128</v>
      </c>
      <c r="C6" s="50"/>
      <c r="D6" s="50"/>
      <c r="E6" s="50"/>
      <c r="F6" s="50"/>
    </row>
    <row r="7" spans="2:23" ht="27.75" customHeight="1">
      <c r="B7" s="51">
        <f>'2. Self-Assessment'!E59/40</f>
        <v>0</v>
      </c>
      <c r="C7" s="51"/>
      <c r="D7" s="52" t="s">
        <v>129</v>
      </c>
      <c r="E7" s="52"/>
      <c r="F7" s="52"/>
    </row>
    <row r="8" spans="2:23" ht="27.75" customHeight="1">
      <c r="B8" s="51"/>
      <c r="C8" s="51"/>
      <c r="D8" s="53" t="str">
        <f>IF('2. Self-Assessment'!E59/40&lt;=0.4,"Foundational",IF('2. Self-Assessment'!E59/40&lt;=0.65,"Developing",IF('2. Self-Assessment'!E59/40&lt;=0.8,"Advanced","Best-in-Class")))</f>
        <v>Foundational</v>
      </c>
      <c r="E8" s="53"/>
      <c r="F8" s="53"/>
    </row>
    <row r="9" spans="2:23" ht="27.75" customHeight="1">
      <c r="B9" s="51"/>
      <c r="C9" s="51"/>
      <c r="D9" s="54" t="str">
        <f>"Total: "&amp;'2. Self-Assessment'!E59&amp;" of 40 practices in place"</f>
        <v>Total: 0 of 40 practices in place</v>
      </c>
      <c r="E9" s="54"/>
      <c r="F9" s="54"/>
    </row>
    <row r="12" spans="2:23" ht="21.75" customHeight="1">
      <c r="B12" s="39" t="s">
        <v>130</v>
      </c>
      <c r="C12" s="39"/>
      <c r="D12" s="39"/>
      <c r="E12" s="39"/>
      <c r="F12" s="39"/>
    </row>
    <row r="13" spans="2:23" ht="21.75" customHeight="1">
      <c r="B13" s="34" t="s">
        <v>131</v>
      </c>
      <c r="C13" s="34" t="s">
        <v>132</v>
      </c>
      <c r="D13" s="34" t="s">
        <v>133</v>
      </c>
      <c r="E13" s="34" t="s">
        <v>134</v>
      </c>
      <c r="F13" s="34" t="s">
        <v>129</v>
      </c>
    </row>
    <row r="14" spans="2:23" ht="25.5" customHeight="1">
      <c r="B14" s="16" t="s">
        <v>135</v>
      </c>
      <c r="C14" s="17" t="str">
        <f>'2. Self-Assessment'!E18&amp;" of 10"</f>
        <v>0 of 10</v>
      </c>
      <c r="D14" s="18">
        <f>'2. Self-Assessment'!E18/10</f>
        <v>0</v>
      </c>
      <c r="E14" s="19">
        <f>'2. Self-Assessment'!E18/10</f>
        <v>0</v>
      </c>
      <c r="F14" s="20" t="str">
        <f>IF('2. Self-Assessment'!E18/10&lt;=0.4,"Foundational",IF('2. Self-Assessment'!E18/10&lt;=0.65,"Developing",IF('2. Self-Assessment'!E18/10&lt;=0.8,"Advanced","Best-in-Class")))</f>
        <v>Foundational</v>
      </c>
      <c r="H14" s="37">
        <f>D14+ROW(D14)/1000000</f>
        <v>1.4E-5</v>
      </c>
    </row>
    <row r="15" spans="2:23" ht="25.5" customHeight="1">
      <c r="B15" s="16" t="s">
        <v>136</v>
      </c>
      <c r="C15" s="17" t="str">
        <f>'2. Self-Assessment'!E31&amp;" of 10"</f>
        <v>0 of 10</v>
      </c>
      <c r="D15" s="18">
        <f>'2. Self-Assessment'!E31/10</f>
        <v>0</v>
      </c>
      <c r="E15" s="19">
        <f>'2. Self-Assessment'!E31/10</f>
        <v>0</v>
      </c>
      <c r="F15" s="20" t="str">
        <f>IF('2. Self-Assessment'!E31/10&lt;=0.4,"Foundational",IF('2. Self-Assessment'!E31/10&lt;=0.65,"Developing",IF('2. Self-Assessment'!E31/10&lt;=0.8,"Advanced","Best-in-Class")))</f>
        <v>Foundational</v>
      </c>
      <c r="H15" s="37">
        <f>D15+ROW(D15)/1000000</f>
        <v>1.5E-5</v>
      </c>
    </row>
    <row r="16" spans="2:23" ht="25.5" customHeight="1">
      <c r="B16" s="16" t="s">
        <v>137</v>
      </c>
      <c r="C16" s="17" t="str">
        <f>'2. Self-Assessment'!E44&amp;" of 10"</f>
        <v>0 of 10</v>
      </c>
      <c r="D16" s="18">
        <f>'2. Self-Assessment'!E44/10</f>
        <v>0</v>
      </c>
      <c r="E16" s="19">
        <f>'2. Self-Assessment'!E44/10</f>
        <v>0</v>
      </c>
      <c r="F16" s="20" t="str">
        <f>IF('2. Self-Assessment'!E44/10&lt;=0.4,"Foundational",IF('2. Self-Assessment'!E44/10&lt;=0.65,"Developing",IF('2. Self-Assessment'!E44/10&lt;=0.8,"Advanced","Best-in-Class")))</f>
        <v>Foundational</v>
      </c>
      <c r="H16" s="37">
        <f>D16+ROW(D16)/1000000</f>
        <v>1.5999999999999999E-5</v>
      </c>
    </row>
    <row r="17" spans="2:8" ht="25.5" customHeight="1">
      <c r="B17" s="16" t="s">
        <v>138</v>
      </c>
      <c r="C17" s="17" t="str">
        <f>'2. Self-Assessment'!E57&amp;" of 10"</f>
        <v>0 of 10</v>
      </c>
      <c r="D17" s="18">
        <f>'2. Self-Assessment'!E57/10</f>
        <v>0</v>
      </c>
      <c r="E17" s="19">
        <f>'2. Self-Assessment'!E57/10</f>
        <v>0</v>
      </c>
      <c r="F17" s="20" t="str">
        <f>IF('2. Self-Assessment'!E57/10&lt;=0.4,"Foundational",IF('2. Self-Assessment'!E57/10&lt;=0.65,"Developing",IF('2. Self-Assessment'!E57/10&lt;=0.8,"Advanced","Best-in-Class")))</f>
        <v>Foundational</v>
      </c>
      <c r="H17" s="37">
        <f>D17+ROW(D17)/1000000</f>
        <v>1.7E-5</v>
      </c>
    </row>
    <row r="37" spans="2:6" ht="21.75" customHeight="1">
      <c r="B37" s="39" t="s">
        <v>139</v>
      </c>
      <c r="C37" s="39"/>
      <c r="D37" s="39"/>
      <c r="E37" s="39"/>
      <c r="F37" s="39"/>
    </row>
    <row r="38" spans="2:6" ht="79.5" customHeight="1">
      <c r="B38" s="57" t="str">
        <f>IF('2. Self-Assessment'!E59/40&lt;=0.4,_xlfn._LONGTEXT("The procurement function sits at a foundational maturity level. Core capabilities are not yet consistently in place. Priority should be given to establishing standardized processes, a clean spend baseline, and category ownership before pursuing advanced v","alue levers."),IF('2. Self-Assessment'!E59/40&lt;=0.65,_xlfn._LONGTEXT("The procurement function shows developing maturity. Capabilities are in place in parts of the organization but are applied inconsistently. Focus on standardizing processes across categories, scaling proven practices, and closing the most material capabili","ty gaps identified in the dimension scores."),IF('2. Self-Assessment'!E59/40&lt;=0.8,_xlfn._LONGTEXT("The procurement function demonstrates good performance. Most strategic levers are in place and operating effectively. The next horizon is selective excellence: deepen supplier collaboration, sharpen analytics-driven decision-making, and embed procurement ","more strongly into business strategy."),"The procurement function is performing at a best-in-class level. The focus should now shift from building capability to sustaining excellence, scaling innovation with strategic suppliers, and using procurement as a competitive differentiator.")))</f>
        <v>The procurement function sits at a foundational maturity level. Core capabilities are not yet consistently in place. Priority should be given to establishing standardized processes, a clean spend baseline, and category ownership before pursuing advanced value levers.</v>
      </c>
      <c r="C38" s="57"/>
      <c r="D38" s="57"/>
      <c r="E38" s="57"/>
      <c r="F38" s="57"/>
    </row>
    <row r="40" spans="2:6" ht="21.75" customHeight="1">
      <c r="B40" s="39" t="s">
        <v>140</v>
      </c>
      <c r="C40" s="39"/>
      <c r="D40" s="39"/>
      <c r="E40" s="39"/>
      <c r="F40" s="39"/>
    </row>
    <row r="41" spans="2:6" ht="21.75" customHeight="1">
      <c r="B41" s="35" t="s">
        <v>141</v>
      </c>
      <c r="C41" s="55" t="str">
        <f>INDEX(B14:B17,MATCH(SMALL(H14:H17,1),H14:H17,0))</f>
        <v>Category Management</v>
      </c>
      <c r="D41" s="55"/>
      <c r="E41" s="55"/>
      <c r="F41" s="38">
        <f>INDEX(D14:D17,MATCH(SMALL(H14:H17,1),H14:H17,0))</f>
        <v>0</v>
      </c>
    </row>
    <row r="42" spans="2:6" ht="21.75" customHeight="1">
      <c r="B42" s="35" t="s">
        <v>142</v>
      </c>
      <c r="C42" s="55" t="str">
        <f>INDEX(B14:B17,MATCH(SMALL(H14:H17,2),H14:H17,0))</f>
        <v>Spend Analysis</v>
      </c>
      <c r="D42" s="55"/>
      <c r="E42" s="55"/>
      <c r="F42" s="38">
        <f>INDEX(D14:D17,MATCH(SMALL(H14:H17,2),H14:H17,0))</f>
        <v>0</v>
      </c>
    </row>
    <row r="43" spans="2:6" ht="21.75" customHeight="1">
      <c r="B43" s="35" t="s">
        <v>143</v>
      </c>
      <c r="C43" s="55" t="str">
        <f>INDEX(B14:B17,MATCH(SMALL(H14:H17,3),H14:H17,0))</f>
        <v>Strategic Sourcing</v>
      </c>
      <c r="D43" s="55"/>
      <c r="E43" s="55"/>
      <c r="F43" s="38">
        <f>INDEX(D14:D17,MATCH(SMALL(H14:H17,3),H14:H17,0))</f>
        <v>0</v>
      </c>
    </row>
    <row r="45" spans="2:6">
      <c r="B45" s="56" t="s">
        <v>144</v>
      </c>
      <c r="C45" s="56"/>
      <c r="D45" s="56"/>
      <c r="E45" s="56"/>
      <c r="F45" s="56"/>
    </row>
  </sheetData>
  <mergeCells count="15">
    <mergeCell ref="C42:E42"/>
    <mergeCell ref="C43:E43"/>
    <mergeCell ref="B45:F45"/>
    <mergeCell ref="B12:F12"/>
    <mergeCell ref="B37:F37"/>
    <mergeCell ref="B38:F38"/>
    <mergeCell ref="B40:F40"/>
    <mergeCell ref="C41:E41"/>
    <mergeCell ref="B3:F3"/>
    <mergeCell ref="B4:F4"/>
    <mergeCell ref="B6:F6"/>
    <mergeCell ref="B7:C9"/>
    <mergeCell ref="D7:F7"/>
    <mergeCell ref="D8:F8"/>
    <mergeCell ref="D9:F9"/>
  </mergeCells>
  <conditionalFormatting sqref="D14:D17">
    <cfRule type="cellIs" dxfId="11" priority="13" operator="lessThanOrEqual">
      <formula>0.4</formula>
    </cfRule>
    <cfRule type="cellIs" dxfId="10" priority="14" operator="between">
      <formula>0.4001</formula>
      <formula>0.65</formula>
    </cfRule>
    <cfRule type="cellIs" dxfId="9" priority="15" operator="between">
      <formula>0.6501</formula>
      <formula>0.8</formula>
    </cfRule>
    <cfRule type="cellIs" dxfId="8" priority="16" operator="greaterThan">
      <formula>0.8</formula>
    </cfRule>
  </conditionalFormatting>
  <conditionalFormatting sqref="E14:E17">
    <cfRule type="dataBar" priority="1">
      <dataBar>
        <cfvo type="min"/>
        <cfvo type="max"/>
        <color rgb="FF638EC6"/>
      </dataBar>
      <extLst>
        <ext xmlns:x14="http://schemas.microsoft.com/office/spreadsheetml/2009/9/main" uri="{B025F937-C7B1-47D3-B67F-A62EFF666E3E}">
          <x14:id>{79BC9364-0DA8-4C8F-A8CD-8524ADC96A5C}</x14:id>
        </ext>
      </extLst>
    </cfRule>
    <cfRule type="dataBar" priority="8">
      <dataBar>
        <cfvo type="num" val="0"/>
        <cfvo type="num" val="1"/>
        <color rgb="FFE3000F"/>
      </dataBar>
      <extLst>
        <ext xmlns:x14="http://schemas.microsoft.com/office/spreadsheetml/2009/9/main" uri="{B025F937-C7B1-47D3-B67F-A62EFF666E3E}">
          <x14:id>{407980CE-EDB7-47F7-B9B3-761B5A12CE10}</x14:id>
        </ext>
      </extLst>
    </cfRule>
  </conditionalFormatting>
  <conditionalFormatting sqref="F14:F17">
    <cfRule type="cellIs" dxfId="3" priority="9" operator="equal">
      <formula>"Foundational"</formula>
    </cfRule>
    <cfRule type="cellIs" dxfId="2" priority="10" operator="equal">
      <formula>"Developing"</formula>
    </cfRule>
    <cfRule type="cellIs" dxfId="1" priority="11" operator="equal">
      <formula>"Advanced"</formula>
    </cfRule>
    <cfRule type="cellIs" dxfId="0" priority="12" operator="equal">
      <formula>"Best-in-Class"</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expression" priority="4" id="{00000000-000E-0000-0200-000002000000}">
            <xm:f>'2. Self-Assessment'!E59/40&lt;=0.4</xm:f>
            <x14:dxf>
              <font>
                <b/>
                <sz val="22"/>
                <color rgb="FFFFFFFF"/>
                <name val="Calibri"/>
                <charset val="1"/>
              </font>
              <fill>
                <patternFill>
                  <bgColor rgb="FFE3000F"/>
                </patternFill>
              </fill>
            </x14:dxf>
          </x14:cfRule>
          <x14:cfRule type="expression" priority="5" id="{00000000-000E-0000-0200-000003000000}">
            <xm:f>'2. Self-Assessment'!E59/40&lt;=0.65</xm:f>
            <x14:dxf>
              <font>
                <b/>
                <sz val="22"/>
                <color rgb="FFFFFFFF"/>
                <name val="Calibri"/>
                <charset val="1"/>
              </font>
              <fill>
                <patternFill>
                  <bgColor rgb="FFF39C12"/>
                </patternFill>
              </fill>
            </x14:dxf>
          </x14:cfRule>
          <x14:cfRule type="expression" priority="6" id="{00000000-000E-0000-0200-000004000000}">
            <xm:f>'2. Self-Assessment'!E59/40&lt;=0.8</xm:f>
            <x14:dxf>
              <font>
                <b/>
                <sz val="22"/>
                <color rgb="FFFFFFFF"/>
                <name val="Calibri"/>
                <charset val="1"/>
              </font>
              <fill>
                <patternFill>
                  <bgColor rgb="FF8BC34A"/>
                </patternFill>
              </fill>
            </x14:dxf>
          </x14:cfRule>
          <x14:cfRule type="expression" priority="7" id="{00000000-000E-0000-0200-000005000000}">
            <xm:f>'2. Self-Assessment'!E59/40&gt;0.8</xm:f>
            <x14:dxf>
              <font>
                <b/>
                <sz val="22"/>
                <color rgb="FFFFFFFF"/>
                <name val="Calibri"/>
                <charset val="1"/>
              </font>
              <fill>
                <patternFill>
                  <bgColor rgb="FF2E7D32"/>
                </patternFill>
              </fill>
            </x14:dxf>
          </x14:cfRule>
          <xm:sqref>D8:F8</xm:sqref>
        </x14:conditionalFormatting>
        <x14:conditionalFormatting xmlns:xm="http://schemas.microsoft.com/office/excel/2006/main">
          <x14:cfRule type="dataBar" id="{79BC9364-0DA8-4C8F-A8CD-8524ADC96A5C}">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407980CE-EDB7-47F7-B9B3-761B5A12CE10}">
            <x14:dataBar axisPosition="none">
              <x14:cfvo type="num">
                <xm:f>0</xm:f>
              </x14:cfvo>
              <x14:cfvo type="num">
                <xm:f>1</xm:f>
              </x14:cfvo>
              <x14:negativeFillColor rgb="FFE3000F"/>
            </x14:dataBar>
          </x14:cfRule>
          <xm:sqref>E14:E17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79998168889431442"/>
  </sheetPr>
  <dimension ref="B1:W35"/>
  <sheetViews>
    <sheetView showGridLines="0" topLeftCell="A29" zoomScaleNormal="100" workbookViewId="0">
      <selection activeCell="P8" sqref="P8"/>
    </sheetView>
  </sheetViews>
  <sheetFormatPr defaultColWidth="8.7109375" defaultRowHeight="15"/>
  <cols>
    <col min="1" max="1" width="2" customWidth="1"/>
    <col min="2" max="2" width="22" customWidth="1"/>
    <col min="3" max="3" width="90" customWidth="1"/>
    <col min="4" max="4" width="2" customWidth="1"/>
  </cols>
  <sheetData>
    <row r="1" spans="2:23" s="25" customFormat="1" ht="22.15" customHeight="1">
      <c r="P1" s="26"/>
      <c r="V1" s="27"/>
      <c r="W1" s="27"/>
    </row>
    <row r="2" spans="2:23" s="28" customFormat="1" ht="4.5" customHeight="1">
      <c r="P2" s="29"/>
      <c r="V2" s="30"/>
      <c r="W2" s="30"/>
    </row>
    <row r="3" spans="2:23" ht="30" customHeight="1">
      <c r="B3" s="45" t="s">
        <v>145</v>
      </c>
      <c r="C3" s="45"/>
    </row>
    <row r="4" spans="2:23">
      <c r="B4" s="46" t="s">
        <v>146</v>
      </c>
      <c r="C4" s="46"/>
    </row>
    <row r="6" spans="2:23" ht="25.5" customHeight="1">
      <c r="B6" s="58" t="s">
        <v>147</v>
      </c>
      <c r="C6" s="58"/>
    </row>
    <row r="7" spans="2:23" ht="21.75" customHeight="1">
      <c r="B7" s="21" t="s">
        <v>148</v>
      </c>
      <c r="C7" s="21" t="str">
        <f>IF('2. Self-Assessment'!E18/10&lt;=0.4,"Foundational",IF('2. Self-Assessment'!E18/10&lt;=0.65,"Developing",IF('2. Self-Assessment'!E18/10&lt;=0.8,"Advanced","Best-in-Class")))&amp;"   |   Score: "&amp;TEXT('2. Self-Assessment'!E18/10,"0%")</f>
        <v>Foundational   |   Score: 0%</v>
      </c>
    </row>
    <row r="8" spans="2:23" ht="79.5" customHeight="1">
      <c r="B8" s="3" t="s">
        <v>149</v>
      </c>
      <c r="C8" s="9" t="s">
        <v>150</v>
      </c>
    </row>
    <row r="9" spans="2:23" ht="79.5" customHeight="1">
      <c r="B9" s="5" t="s">
        <v>151</v>
      </c>
      <c r="C9" s="9" t="s">
        <v>152</v>
      </c>
    </row>
    <row r="10" spans="2:23" ht="79.5" customHeight="1">
      <c r="B10" s="6" t="s">
        <v>153</v>
      </c>
      <c r="C10" s="9" t="s">
        <v>154</v>
      </c>
    </row>
    <row r="11" spans="2:23" ht="79.5" customHeight="1">
      <c r="B11" s="7" t="s">
        <v>155</v>
      </c>
      <c r="C11" s="9" t="s">
        <v>156</v>
      </c>
    </row>
    <row r="13" spans="2:23" ht="25.5" customHeight="1">
      <c r="B13" s="58" t="s">
        <v>157</v>
      </c>
      <c r="C13" s="58"/>
    </row>
    <row r="14" spans="2:23" ht="21.75" customHeight="1">
      <c r="B14" s="21" t="s">
        <v>148</v>
      </c>
      <c r="C14" s="21" t="str">
        <f>IF('2. Self-Assessment'!E31/10&lt;=0.4,"Foundational",IF('2. Self-Assessment'!E31/10&lt;=0.65,"Developing",IF('2. Self-Assessment'!E31/10&lt;=0.8,"Advanced","Best-in-Class")))&amp;"   |   Score: "&amp;TEXT('2. Self-Assessment'!E31/10,"0%")</f>
        <v>Foundational   |   Score: 0%</v>
      </c>
    </row>
    <row r="15" spans="2:23" ht="79.5" customHeight="1">
      <c r="B15" s="3" t="s">
        <v>149</v>
      </c>
      <c r="C15" s="9" t="s">
        <v>158</v>
      </c>
    </row>
    <row r="16" spans="2:23" ht="79.5" customHeight="1">
      <c r="B16" s="5" t="s">
        <v>151</v>
      </c>
      <c r="C16" s="9" t="s">
        <v>159</v>
      </c>
    </row>
    <row r="17" spans="2:3" ht="79.5" customHeight="1">
      <c r="B17" s="6" t="s">
        <v>153</v>
      </c>
      <c r="C17" s="9" t="s">
        <v>160</v>
      </c>
    </row>
    <row r="18" spans="2:3" ht="79.5" customHeight="1">
      <c r="B18" s="7" t="s">
        <v>155</v>
      </c>
      <c r="C18" s="9" t="s">
        <v>161</v>
      </c>
    </row>
    <row r="20" spans="2:3" ht="25.5" customHeight="1">
      <c r="B20" s="58" t="s">
        <v>162</v>
      </c>
      <c r="C20" s="58"/>
    </row>
    <row r="21" spans="2:3" ht="21.75" customHeight="1">
      <c r="B21" s="21" t="s">
        <v>148</v>
      </c>
      <c r="C21" s="21" t="str">
        <f>IF('2. Self-Assessment'!E44/10&lt;=0.4,"Foundational",IF('2. Self-Assessment'!E44/10&lt;=0.65,"Developing",IF('2. Self-Assessment'!E44/10&lt;=0.8,"Advanced","Best-in-Class")))&amp;"   |   Score: "&amp;TEXT('2. Self-Assessment'!E44/10,"0%")</f>
        <v>Foundational   |   Score: 0%</v>
      </c>
    </row>
    <row r="22" spans="2:3" ht="79.5" customHeight="1">
      <c r="B22" s="3" t="s">
        <v>149</v>
      </c>
      <c r="C22" s="9" t="s">
        <v>163</v>
      </c>
    </row>
    <row r="23" spans="2:3" ht="79.5" customHeight="1">
      <c r="B23" s="5" t="s">
        <v>151</v>
      </c>
      <c r="C23" s="9" t="s">
        <v>164</v>
      </c>
    </row>
    <row r="24" spans="2:3" ht="79.5" customHeight="1">
      <c r="B24" s="6" t="s">
        <v>153</v>
      </c>
      <c r="C24" s="9" t="s">
        <v>165</v>
      </c>
    </row>
    <row r="25" spans="2:3" ht="79.5" customHeight="1">
      <c r="B25" s="7" t="s">
        <v>155</v>
      </c>
      <c r="C25" s="9" t="s">
        <v>166</v>
      </c>
    </row>
    <row r="27" spans="2:3" ht="25.5" customHeight="1">
      <c r="B27" s="58" t="s">
        <v>167</v>
      </c>
      <c r="C27" s="58"/>
    </row>
    <row r="28" spans="2:3" ht="21.75" customHeight="1">
      <c r="B28" s="21" t="s">
        <v>148</v>
      </c>
      <c r="C28" s="21" t="str">
        <f>IF('2. Self-Assessment'!E57/10&lt;=0.4,"Foundational",IF('2. Self-Assessment'!E57/10&lt;=0.65,"Developing",IF('2. Self-Assessment'!E57/10&lt;=0.8,"Advanced","Best-in-Class")))&amp;"   |   Score: "&amp;TEXT('2. Self-Assessment'!E57/10,"0%")</f>
        <v>Foundational   |   Score: 0%</v>
      </c>
    </row>
    <row r="29" spans="2:3" ht="79.5" customHeight="1">
      <c r="B29" s="3" t="s">
        <v>149</v>
      </c>
      <c r="C29" s="9" t="s">
        <v>168</v>
      </c>
    </row>
    <row r="30" spans="2:3" ht="79.5" customHeight="1">
      <c r="B30" s="5" t="s">
        <v>151</v>
      </c>
      <c r="C30" s="9" t="s">
        <v>169</v>
      </c>
    </row>
    <row r="31" spans="2:3" ht="79.5" customHeight="1">
      <c r="B31" s="6" t="s">
        <v>153</v>
      </c>
      <c r="C31" s="9" t="s">
        <v>170</v>
      </c>
    </row>
    <row r="32" spans="2:3" ht="79.5" customHeight="1">
      <c r="B32" s="7" t="s">
        <v>155</v>
      </c>
      <c r="C32" s="9" t="s">
        <v>171</v>
      </c>
    </row>
    <row r="35" spans="2:3">
      <c r="B35" s="56" t="s">
        <v>172</v>
      </c>
      <c r="C35" s="56"/>
    </row>
  </sheetData>
  <mergeCells count="7">
    <mergeCell ref="B27:C27"/>
    <mergeCell ref="B35:C35"/>
    <mergeCell ref="B3:C3"/>
    <mergeCell ref="B4:C4"/>
    <mergeCell ref="B6:C6"/>
    <mergeCell ref="B13:C13"/>
    <mergeCell ref="B20:C20"/>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423B3DD256C84AA511D1D40E277649" ma:contentTypeVersion="3" ma:contentTypeDescription="Create a new document." ma:contentTypeScope="" ma:versionID="20a9e9f7109603687dc3d9f011b5fd13">
  <xsd:schema xmlns:xsd="http://www.w3.org/2001/XMLSchema" xmlns:xs="http://www.w3.org/2001/XMLSchema" xmlns:p="http://schemas.microsoft.com/office/2006/metadata/properties" xmlns:ns2="8723e903-0521-49b2-b4b9-33c02c5317d6" targetNamespace="http://schemas.microsoft.com/office/2006/metadata/properties" ma:root="true" ma:fieldsID="cd9d525b8b666ad533db0eb77bfb3414" ns2:_="">
    <xsd:import namespace="8723e903-0521-49b2-b4b9-33c02c5317d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3e903-0521-49b2-b4b9-33c02c531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52B4D1-2E83-420A-9453-5E7EF7DE1DE7}">
  <ds:schemaRefs>
    <ds:schemaRef ds:uri="http://purl.org/dc/terms/"/>
    <ds:schemaRef ds:uri="http://schemas.microsoft.com/office/2006/metadata/properties"/>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8723e903-0521-49b2-b4b9-33c02c5317d6"/>
    <ds:schemaRef ds:uri="http://purl.org/dc/dcmitype/"/>
  </ds:schemaRefs>
</ds:datastoreItem>
</file>

<file path=customXml/itemProps2.xml><?xml version="1.0" encoding="utf-8"?>
<ds:datastoreItem xmlns:ds="http://schemas.openxmlformats.org/officeDocument/2006/customXml" ds:itemID="{C5A55CD3-9F70-4631-A822-9DEF3BD46CDC}">
  <ds:schemaRefs>
    <ds:schemaRef ds:uri="http://schemas.microsoft.com/sharepoint/v3/contenttype/forms"/>
  </ds:schemaRefs>
</ds:datastoreItem>
</file>

<file path=customXml/itemProps3.xml><?xml version="1.0" encoding="utf-8"?>
<ds:datastoreItem xmlns:ds="http://schemas.openxmlformats.org/officeDocument/2006/customXml" ds:itemID="{43F3221C-D423-430B-BB5E-0C0A28DF3C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3e903-0521-49b2-b4b9-33c02c5317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Cover &amp; Instructions</vt:lpstr>
      <vt:lpstr>2. Self-Assessment</vt:lpstr>
      <vt:lpstr>3. Results Dashboard</vt:lpstr>
      <vt:lpstr>4. 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Asnag, Mazen A</cp:lastModifiedBy>
  <cp:revision>1</cp:revision>
  <dcterms:created xsi:type="dcterms:W3CDTF">2026-05-14T17:54:47Z</dcterms:created>
  <dcterms:modified xsi:type="dcterms:W3CDTF">2026-09-09T07:04:16Z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0x010100C5423B3DD256C84AA511D1D40E277649</vt:lpwstr>
  </property>
  <property fmtid="{D5CDD505-2E9C-101B-9397-08002B2CF9AE}" pid="3" name="SecloreClassification">
    <vt:lpwstr>{"Saudi Aramco Production PolicyServer (fd6c62e468ef9b2f1a0969a7470393253381c2eb)":{"ClassificationDisplayName":"Company General Use","ClassificationMode":"ClassificationMode_UserDriven","LabelId":"10004","Version":"1"}}</vt:lpwstr>
  </property>
  <property fmtid="{D5CDD505-2E9C-101B-9397-08002B2CF9AE}" pid="4" name="SecloreClassificationDisplayName_fd6c62e468ef9b2f1a0969a7470393253381c2eb">
    <vt:lpwstr>Company General Use</vt:lpwstr>
  </property>
  <property fmtid="{D5CDD505-2E9C-101B-9397-08002B2CF9AE}" pid="5" name="SecloreClassificationFooterTextValue">
    <vt:lpwstr>2026 Saudi Aramco | Company General Use</vt:lpwstr>
  </property>
  <property fmtid="{D5CDD505-2E9C-101B-9397-08002B2CF9AE}" pid="6" name="SecloreClassificationFooterColorHex">
    <vt:lpwstr>#20134e</vt:lpwstr>
  </property>
  <property fmtid="{D5CDD505-2E9C-101B-9397-08002B2CF9AE}" pid="7" name="SecloreClassificationFooterFontSize">
    <vt:lpwstr>10</vt:lpwstr>
  </property>
  <property fmtid="{D5CDD505-2E9C-101B-9397-08002B2CF9AE}" pid="8" name="SecloreClassificationFooterAlignment">
    <vt:lpwstr>Left</vt:lpwstr>
  </property>
</Properties>
</file>